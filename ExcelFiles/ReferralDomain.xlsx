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FE2A1004-9166-47E7-9856-9DAEBB271029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0"/>
  <c r="C2" i="11"/>
  <c r="B2" i="30"/>
  <c r="A2" i="11"/>
  <c r="B2" i="11" s="1"/>
  <c r="D2" i="32"/>
  <c r="B2" i="32"/>
  <c r="B2" i="31"/>
  <c r="Q2" i="11"/>
  <c r="D2" i="3" l="1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<sst xmlns="http://schemas.openxmlformats.org/spreadsheetml/2006/main" count="404" uniqueCount="231">
  <si>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</si>
  <si>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</si>
  <si>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</si>
  <si>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</si>
  <si>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</si>
  <si>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</si>
  <si>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</si>
  <si>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</si>
  <si>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</si>
  <si>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</si>
  <si>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</si>
  <si>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</si>
  <si>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</si>
  <si>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</si>
  <si>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</si>
  <si>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</si>
  <si>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</si>
  <si>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</si>
  <si>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</si>
  <si>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</si>
  <si>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</si>
  <si>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</si>
  <si>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</si>
  <si>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</si>
  <si>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</si>
  <si>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</si>
  <si>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</si>
  <si>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</si>
  <si>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</si>
  <si>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</si>
  <si>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</si>
  <si>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</si>
  <si>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</si>
  <si>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</si>
  <si>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</si>
  <si>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</si>
  <si>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</si>
  <si>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</si>
  <si>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</si>
  <si>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</si>
  <si>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</si>
  <si>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</si>
  <si>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</si>
  <si>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</si>
  <si>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</si>
  <si>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</si>
  <si>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</si>
  <si>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</si>
  <si>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</si>
  <si>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</si>
  <si>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</si>
  <si>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</si>
  <si>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</si>
  <si>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</si>
  <si>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</si>
  <si>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</si>
  <si>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</si>
  <si>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</si>
  <si>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</si>
  <si>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</si>
  <si>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</si>
  <si>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</si>
  <si>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</si>
  <si>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</si>
  <si>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</si>
  <si>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</si>
  <si>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</si>
  <si>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</si>
  <si>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</si>
  <si>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</si>
  <si>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</si>
  <si>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</si>
  <si>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</si>
  <si>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</si>
  <si>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</si>
  <si>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</si>
  <si>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</si>
  <si>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</si>
  <si>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</si>
  <si>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</si>
  <si>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</si>
  <si>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</si>
  <si>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</si>
  <si>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</si>
  <si>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</si>
  <si>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</si>
  <si>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</si>
  <si>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</si>
  <si>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</si>
  <si>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</si>
  <si>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</si>
  <si>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</si>
  <si>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</si>
  <si>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</si>
  <si>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</si>
  <si>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</si>
  <si>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</si>
  <si>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</si>
  <si>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</si>
  <si>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</si>
  <si>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</si>
  <si>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</si>
  <si>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</si>
  <si>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</si>
  <si>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</si>
  <si>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</si>
  <si>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</si>
  <si>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</si>
  <si>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</si>
  <si>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</si>
  <si>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</si>
  <si>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</si>
  <si>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</si>
  <si>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</si>
  <si>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</si>
  <si>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</si>
  <si>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</si>
  <si>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</si>
  <si>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</si>
  <si>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</si>
  <si>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</si>
  <si>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</si>
  <si>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</si>
  <si>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</si>
  <si>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</si>
  <si>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</si>
  <si>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</si>
  <si>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</si>
  <si>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</si>
  <si>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</si>
  <si>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</si>
  <si>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</si>
  <si>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</si>
  <si>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</si>
  <si>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</si>
  <si>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</si>
  <si>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</si>
  <si>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</si>
  <si>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</si>
  <si>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</si>
  <si>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</si>
  <si>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</si>
  <si>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</si>
  <si>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</si>
  <si>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</si>
  <si>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</si>
  <si>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</si>
  <si>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</si>
  <si>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</si>
  <si>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</si>
  <si>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</si>
  <si>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</si>
  <si>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</si>
  <si>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</si>
  <si>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</si>
  <si>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</si>
  <si>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</si>
  <si>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</si>
  <si>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</si>
  <si>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</si>
  <si>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</si>
  <si>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</si>
  <si>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</si>
  <si>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</si>
  <si>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</si>
  <si>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</si>
  <si>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</si>
  <si>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</si>
  <si>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</si>
  <si>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</si>
  <si>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</si>
  <si>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</si>
  <si>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</si>
  <si>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</si>
  <si>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</si>
  <si>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</si>
  <si>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</si>
  <si>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</si>
  <si>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</si>
  <si>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</si>
  <si>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</si>
  <si>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</si>
  <si>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</si>
  <si>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</si>
  <si>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</si>
  <si>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</si>
  <si>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</si>
  <si>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</si>
  <si>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Riomedtest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</si>
  <si>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</si>
  <si>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</si>
  <si>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</si>
  <si>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</si>
  <si>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</si>
  <si>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</si>
  <si>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</si>
  <si>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</si>
  <si>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</si>
  <si>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</si>
  <si>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</si>
  <si>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</si>
  <si>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28/09/2023</t>
  </si>
  <si>
    <t>prerelease.auto</t>
  </si>
  <si>
    <t>Manoj@2023</t>
  </si>
  <si>
    <t>manoj.auto</t>
  </si>
  <si>
    <t>thayne.auto</t>
  </si>
  <si>
    <t>12:00:00</t>
  </si>
  <si>
    <t>Cardiology Clinic</t>
  </si>
  <si>
    <t>11:00:00</t>
  </si>
  <si>
    <t>ref_preferred_examiner_sex_entry</t>
  </si>
  <si>
    <t>ref_start_date</t>
  </si>
  <si>
    <t>ref_end_date</t>
  </si>
  <si>
    <t>ref_clinic_location</t>
  </si>
  <si>
    <t>Cath Lab 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</si>
  <si>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</si>
  <si>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</si>
  <si>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</si>
  <si>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</si>
  <si>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</si>
  <si>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</si>
  <si>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</si>
  <si>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</si>
  <si>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</si>
  <si>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</si>
  <si>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ANUMBA</t>
  </si>
  <si>
    <t>pip_chiNumber</t>
  </si>
  <si>
    <t>123456</t>
  </si>
  <si>
    <t>Thayne@2025</t>
  </si>
  <si>
    <t>Manoj@2025</t>
  </si>
  <si>
    <t>refLin2835</t>
  </si>
  <si>
    <t>RefLinuxAQ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</si>
</sst>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  <xf numFmtId="0" fontId="0" fillId="2" borderId="0" xfId="0" quotePrefix="1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205</v>
      </c>
      <c r="B2" s="1" t="s">
        <v>227</v>
      </c>
    </row>
    <row r="3" spans="1:2" x14ac:dyDescent="0.25">
      <c r="A3" s="6" t="s">
        <v>202</v>
      </c>
      <c r="B3" s="1" t="s">
        <v>228</v>
      </c>
    </row>
    <row r="4" spans="1:2" x14ac:dyDescent="0.25">
      <c r="A4" s="6" t="s">
        <v>204</v>
      </c>
      <c r="B4" t="s">
        <v>203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F36B60ED-7A12-4300-A318-ECC72E93F7B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6" t="s">
        <v>229</v>
      </c>
      <c r="E2" s="6" t="s">
        <v>108</v>
      </c>
      <c r="F2" s="15" t="s">
        <v>230</v>
      </c>
      <c r="G2" s="6" t="s">
        <v>188</v>
      </c>
      <c r="H2" s="6" t="s">
        <v>109</v>
      </c>
      <c r="I2" s="7" t="s">
        <v>201</v>
      </c>
      <c r="J2" s="2" t="s">
        <v>110</v>
      </c>
      <c r="K2" s="2" t="s">
        <v>111</v>
      </c>
      <c r="L2" s="2" t="s">
        <v>112</v>
      </c>
      <c r="M2" s="6" t="s">
        <v>190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RefLinuxAQ</v>
      </c>
      <c r="G2" s="6" t="str">
        <f>addPatient!G2</f>
        <v>Riomedtest</v>
      </c>
      <c r="H2" s="6" t="str">
        <f>addPatient!H2</f>
        <v>M</v>
      </c>
      <c r="I2" s="7" t="str">
        <f>addPatient!I2</f>
        <v>28/09/2023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22" sqref="G2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RefLinuxAQ</v>
      </c>
      <c r="B2" s="6" t="str">
        <f>addPatient!G2</f>
        <v>Riomedtest</v>
      </c>
      <c r="C2" s="6" t="str">
        <f>addPatient!H2</f>
        <v>M</v>
      </c>
      <c r="D2" s="7" t="str">
        <f>addPatient!I2</f>
        <v>28/09/2023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RefLinuxAQ_Riomedtest@Gmail.com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7" sqref="G2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192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191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196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225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198</v>
      </c>
      <c r="AF1" t="s">
        <v>92</v>
      </c>
      <c r="AG1" t="s">
        <v>197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199</v>
      </c>
      <c r="T2" s="9" t="s">
        <v>200</v>
      </c>
      <c r="U2" s="9" t="s">
        <v>226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193</v>
      </c>
      <c r="B2" s="6" t="s">
        <v>18</v>
      </c>
      <c r="C2" s="6" t="s">
        <v>194</v>
      </c>
      <c r="D2" s="6" t="s">
        <v>30</v>
      </c>
      <c r="E2" s="6" t="s">
        <v>195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189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C8" sqref="C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212</v>
      </c>
      <c r="M1" s="3" t="s">
        <v>160</v>
      </c>
      <c r="N1" t="s">
        <v>161</v>
      </c>
      <c r="O1" s="3" t="s">
        <v>162</v>
      </c>
      <c r="P1" t="s">
        <v>209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tr">
        <f ca="1">TEXT(TODAY(), "DD/MM/YYYY")</f>
        <v>18/11/2025</v>
      </c>
      <c r="B2" s="11" t="str">
        <f ca="1">A2</f>
        <v>18/11/2025</v>
      </c>
      <c r="C2" s="11" t="str">
        <f ca="1">TEXT(TODAY()-1, "DD/MM/YYYY")</f>
        <v>17/11/2025</v>
      </c>
      <c r="D2" s="12" t="s">
        <v>206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207</v>
      </c>
      <c r="L2" s="6" t="s">
        <v>213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208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210</v>
      </c>
      <c r="B1" t="s">
        <v>211</v>
      </c>
    </row>
    <row r="2" spans="1:2" x14ac:dyDescent="0.25">
      <c r="A2" s="11" t="str">
        <f ca="1">TEXT(TODAY()-1, "DD/MM/YYYY")</f>
        <v>17/11/2025</v>
      </c>
      <c r="B2" s="11" t="str">
        <f ca="1">TEXT(TODAY(), "DD/MM/YYYY")</f>
        <v>18/11/2025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214</v>
      </c>
      <c r="B1" t="s">
        <v>217</v>
      </c>
    </row>
    <row r="2" spans="1:2" x14ac:dyDescent="0.25">
      <c r="A2" t="s">
        <v>220</v>
      </c>
      <c r="B2" s="11" t="str">
        <f ca="1">TEXT(TODAY(),"dd/mm/yyyy")</f>
        <v>18/11/2025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214</v>
      </c>
      <c r="B1" t="s">
        <v>215</v>
      </c>
      <c r="C1" t="s">
        <v>216</v>
      </c>
      <c r="D1" t="s">
        <v>218</v>
      </c>
      <c r="E1" t="s">
        <v>219</v>
      </c>
    </row>
    <row r="2" spans="1:5" x14ac:dyDescent="0.25">
      <c r="A2" t="s">
        <v>221</v>
      </c>
      <c r="B2" t="str">
        <f ca="1">TEXT(TODAY(),"dd/mm/yyyy")</f>
        <v>18/11/2025</v>
      </c>
      <c r="C2" t="s">
        <v>222</v>
      </c>
      <c r="D2" t="str">
        <f ca="1">TEXT(TODAY(),"dd/mm/yyyy")</f>
        <v>18/11/2025</v>
      </c>
      <c r="E2" t="s">
        <v>223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2025-11-18T02:38:08Z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