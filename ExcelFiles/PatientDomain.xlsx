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Riomed\Cellma4Automation\ExcelFiles\"/>
    </mc:Choice>
  </mc:AlternateContent>
  <xr:revisionPtr revIDLastSave="0" documentId="13_ncr:1_{F30E5C56-660D-4464-B499-3B07DCA2F3F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loginDetails" sheetId="1" r:id="rId1"/>
    <sheet name="addPatient" sheetId="2" r:id="rId2"/>
    <sheet name="editPatient" sheetId="7" r:id="rId3"/>
    <sheet name="patientIdentifier" sheetId="3" r:id="rId4"/>
    <sheet name="tempAddress" sheetId="8" r:id="rId5"/>
    <sheet name="permanentAddress" sheetId="4" r:id="rId6"/>
    <sheet name="pip" sheetId="5" r:id="rId7"/>
    <sheet name="pipAddress" sheetId="26" r:id="rId8"/>
    <sheet name="addGP" sheetId="6" r:id="rId9"/>
    <sheet name="gpAddress" sheetId="10" r:id="rId10"/>
    <sheet name="AddReferral" sheetId="11" r:id="rId11"/>
    <sheet name="ConfirmExistingDetails" sheetId="12" r:id="rId12"/>
    <sheet name="ConfirmExistingDetailsTAdd" sheetId="13" r:id="rId13"/>
    <sheet name="SPaddPatient" sheetId="14" r:id="rId14"/>
    <sheet name="SPAddress" sheetId="25" r:id="rId15"/>
    <sheet name="SPeditPatient" sheetId="15" r:id="rId16"/>
    <sheet name="SPpatientIdentifier" sheetId="16" r:id="rId17"/>
    <sheet name="SPpermanentAddress" sheetId="17" r:id="rId18"/>
    <sheet name="SPtempAddress" sheetId="18" r:id="rId19"/>
    <sheet name="SPpip" sheetId="19" r:id="rId20"/>
    <sheet name="SPaddGP" sheetId="20" r:id="rId21"/>
    <sheet name="SPgpAddress" sheetId="21" r:id="rId22"/>
    <sheet name="patDetails" sheetId="22" r:id="rId23"/>
    <sheet name="patCauseOfDeath" sheetId="23" r:id="rId24"/>
    <sheet name="patOtherCauseOfDeath" sheetId="24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4" l="1"/>
  <c r="I2" i="8"/>
  <c r="A2" i="3"/>
  <c r="J2" i="3" s="1"/>
  <c r="AB2" i="2"/>
  <c r="F2" i="22"/>
  <c r="G2" i="22"/>
  <c r="A2" i="22"/>
  <c r="C2" i="18"/>
  <c r="F2" i="18"/>
  <c r="E2" i="18"/>
  <c r="D2" i="18"/>
  <c r="B2" i="18"/>
  <c r="A2" i="18"/>
  <c r="I2" i="17"/>
  <c r="I2" i="16"/>
  <c r="D2" i="16"/>
  <c r="B2" i="16"/>
  <c r="A2" i="16"/>
  <c r="I2" i="15"/>
  <c r="G2" i="15"/>
  <c r="F2" i="15"/>
  <c r="B2" i="15"/>
  <c r="C2" i="16"/>
  <c r="H2" i="15"/>
  <c r="D2" i="3"/>
  <c r="C2" i="3"/>
  <c r="B2" i="3"/>
  <c r="I2" i="7"/>
  <c r="H2" i="7"/>
  <c r="G2" i="7"/>
  <c r="F2" i="7"/>
  <c r="I2" i="18" l="1"/>
  <c r="J2" i="16"/>
</calcChain>
</file>

<file path=xl/sharedStrings.xml><?xml version="1.0" encoding="utf-8"?>
<sst xmlns="http://schemas.openxmlformats.org/spreadsheetml/2006/main" count="713" uniqueCount="267">
  <si>
    <t>pat_firstname</t>
  </si>
  <si>
    <t>pat_lastname</t>
  </si>
  <si>
    <t>pat_sex</t>
  </si>
  <si>
    <t>pat_dob</t>
  </si>
  <si>
    <t>pip_firstname</t>
  </si>
  <si>
    <t>pip_surname</t>
  </si>
  <si>
    <t>username</t>
  </si>
  <si>
    <t>password</t>
  </si>
  <si>
    <t>pat_middlename</t>
  </si>
  <si>
    <t>add_address1</t>
  </si>
  <si>
    <t>add_address2</t>
  </si>
  <si>
    <t>add_address3</t>
  </si>
  <si>
    <t>add_address4</t>
  </si>
  <si>
    <t>add_address5</t>
  </si>
  <si>
    <t>add_address6</t>
  </si>
  <si>
    <t>add_phone</t>
  </si>
  <si>
    <t>add_email</t>
  </si>
  <si>
    <t>add_fax</t>
  </si>
  <si>
    <t>Pune</t>
  </si>
  <si>
    <t>add_notes</t>
  </si>
  <si>
    <t>pat_surname</t>
  </si>
  <si>
    <t>pat_marital_status</t>
  </si>
  <si>
    <t>pat_occupation</t>
  </si>
  <si>
    <t>pat_type</t>
  </si>
  <si>
    <t>pat_blood_group</t>
  </si>
  <si>
    <t>pat_religion</t>
  </si>
  <si>
    <t>pat_hospital_ref</t>
  </si>
  <si>
    <t>add_iso_country_code</t>
  </si>
  <si>
    <t>add_icao_country_code</t>
  </si>
  <si>
    <t>add_work_phone</t>
  </si>
  <si>
    <t>India</t>
  </si>
  <si>
    <t>4110 11</t>
  </si>
  <si>
    <t>pat_title</t>
  </si>
  <si>
    <t>pat_country</t>
  </si>
  <si>
    <t>pid_value2</t>
  </si>
  <si>
    <t>pid_value1</t>
  </si>
  <si>
    <t>pat_ethnicity_text</t>
  </si>
  <si>
    <t>pat_language</t>
  </si>
  <si>
    <t>pat_registered_disabled</t>
  </si>
  <si>
    <t>pat_currently_pregnant</t>
  </si>
  <si>
    <t>pat_country_of_birth</t>
  </si>
  <si>
    <t>pat_sexual_orientation_eli_text</t>
  </si>
  <si>
    <t>pat_disability_note</t>
  </si>
  <si>
    <t>pat_notes</t>
  </si>
  <si>
    <t>pat_gender_at_birth</t>
  </si>
  <si>
    <t>pat_nationality</t>
  </si>
  <si>
    <t>pat_ethnicity_cod_id</t>
  </si>
  <si>
    <t>pat_nhs_ref</t>
  </si>
  <si>
    <t>pat_identifier</t>
  </si>
  <si>
    <t>pat_image</t>
  </si>
  <si>
    <t>pat_maiden_name</t>
  </si>
  <si>
    <t>pat_consent_given</t>
  </si>
  <si>
    <t>pat_practising_religion</t>
  </si>
  <si>
    <t>pat_disability</t>
  </si>
  <si>
    <t>pat_temp_address_start</t>
  </si>
  <si>
    <t>pat_record_private_set_by</t>
  </si>
  <si>
    <t>pat_consent_given_age</t>
  </si>
  <si>
    <t>pat_pin</t>
  </si>
  <si>
    <t>pat_anonymous</t>
  </si>
  <si>
    <t>pat_alias</t>
  </si>
  <si>
    <t>pat_complications</t>
  </si>
  <si>
    <t>pat_soundex</t>
  </si>
  <si>
    <t>pat_registered_with_patientweb</t>
  </si>
  <si>
    <t>pat_sexuality</t>
  </si>
  <si>
    <t>pat_prisoner</t>
  </si>
  <si>
    <t>pat_county_of_birth</t>
  </si>
  <si>
    <t>pat_town_of_birth</t>
  </si>
  <si>
    <t>pat_mothername</t>
  </si>
  <si>
    <t>pat_is_baby_born_in_this_hospital</t>
  </si>
  <si>
    <t>add_mobile</t>
  </si>
  <si>
    <t>add_postcode_nospaces</t>
  </si>
  <si>
    <t>add_company_name</t>
  </si>
  <si>
    <t>pip_title</t>
  </si>
  <si>
    <t>pip_relationship</t>
  </si>
  <si>
    <t>pip_next_of_kin</t>
  </si>
  <si>
    <t>pip_notes</t>
  </si>
  <si>
    <t>pip_family_aware_illness</t>
  </si>
  <si>
    <t>pip_type</t>
  </si>
  <si>
    <t>pip_currency</t>
  </si>
  <si>
    <t>pip_middlename</t>
  </si>
  <si>
    <t>pip_gender</t>
  </si>
  <si>
    <t>pip_dob</t>
  </si>
  <si>
    <t>pip_id_number</t>
  </si>
  <si>
    <t>pip_can_collect_drugs</t>
  </si>
  <si>
    <t>pip_identifier_type</t>
  </si>
  <si>
    <t>pip_identifier_number</t>
  </si>
  <si>
    <t>pip_send_txt_email</t>
  </si>
  <si>
    <t>pip_occupation_id</t>
  </si>
  <si>
    <t>pip_ethnicity_id</t>
  </si>
  <si>
    <t>pip_partner_print</t>
  </si>
  <si>
    <t>pip_pan_id</t>
  </si>
  <si>
    <t>pip_receive_pat_appt_letter</t>
  </si>
  <si>
    <t>pip_receive_patient_letter</t>
  </si>
  <si>
    <t>pip_department</t>
  </si>
  <si>
    <t>pip_professional_title</t>
  </si>
  <si>
    <t>pip_is_referrer</t>
  </si>
  <si>
    <t>egp_title</t>
  </si>
  <si>
    <t>egp_initials</t>
  </si>
  <si>
    <t>egp_first_name</t>
  </si>
  <si>
    <t>egp_surname</t>
  </si>
  <si>
    <t>egp_gp_code</t>
  </si>
  <si>
    <t>egp_pct_code</t>
  </si>
  <si>
    <t>egp_pct_name</t>
  </si>
  <si>
    <t>egp_practise_code</t>
  </si>
  <si>
    <t>egp_ccg</t>
  </si>
  <si>
    <t>egp_gmc_code</t>
  </si>
  <si>
    <t>egp_fullname</t>
  </si>
  <si>
    <t>Riomed</t>
  </si>
  <si>
    <t>For testing</t>
  </si>
  <si>
    <t>Added for testing</t>
  </si>
  <si>
    <t>B/O</t>
  </si>
  <si>
    <t>M</t>
  </si>
  <si>
    <t>Single</t>
  </si>
  <si>
    <t>Indian</t>
  </si>
  <si>
    <t>Trainer</t>
  </si>
  <si>
    <t>Regular</t>
  </si>
  <si>
    <t>B+</t>
  </si>
  <si>
    <t>Added for Testing</t>
  </si>
  <si>
    <t>Hindu</t>
  </si>
  <si>
    <t>Martin</t>
  </si>
  <si>
    <t>English</t>
  </si>
  <si>
    <t>01-04-2023</t>
  </si>
  <si>
    <t>Maharashtra</t>
  </si>
  <si>
    <t>Heterosexuality</t>
  </si>
  <si>
    <t>For Testing</t>
  </si>
  <si>
    <t>AutoHosp109</t>
  </si>
  <si>
    <t>pat_registered_disabled_yes</t>
  </si>
  <si>
    <t>pat_currently_pregnant_yes</t>
  </si>
  <si>
    <t>No</t>
  </si>
  <si>
    <t>pat_prisoner_yes</t>
  </si>
  <si>
    <t>Mr</t>
  </si>
  <si>
    <t>Wednesday</t>
  </si>
  <si>
    <t>Tester</t>
  </si>
  <si>
    <t>Brother</t>
  </si>
  <si>
    <t>pip_next_of_kin_yes</t>
  </si>
  <si>
    <t>pip_family_aware_illness_yes</t>
  </si>
  <si>
    <t>Yes</t>
  </si>
  <si>
    <t>Middle</t>
  </si>
  <si>
    <t>01/01/1995</t>
  </si>
  <si>
    <t>pip_send_txt_email_yes</t>
  </si>
  <si>
    <t>Prof</t>
  </si>
  <si>
    <t>pip_ethnicity_text</t>
  </si>
  <si>
    <t>Flat no 1101</t>
  </si>
  <si>
    <t>SaiCapital</t>
  </si>
  <si>
    <t>Mumbai</t>
  </si>
  <si>
    <t>Ind009</t>
  </si>
  <si>
    <t>R</t>
  </si>
  <si>
    <t>Riya</t>
  </si>
  <si>
    <t>Patil</t>
  </si>
  <si>
    <t>GP0001</t>
  </si>
  <si>
    <t>GPPCT0001</t>
  </si>
  <si>
    <t>GPGMC0001</t>
  </si>
  <si>
    <t>Hinjewadi</t>
  </si>
  <si>
    <t>4000 14</t>
  </si>
  <si>
    <t>rtt_referral_received_date</t>
  </si>
  <si>
    <t>rtt_referral_approved_date</t>
  </si>
  <si>
    <t>ref_referral_date</t>
  </si>
  <si>
    <t>ref_time_set</t>
  </si>
  <si>
    <t>SourceOFReferral</t>
  </si>
  <si>
    <t>ref_referral_type_eli_text</t>
  </si>
  <si>
    <t>ReferralReason</t>
  </si>
  <si>
    <t>ReferringProfession</t>
  </si>
  <si>
    <t>ref_referral_mode</t>
  </si>
  <si>
    <t>cli_name</t>
  </si>
  <si>
    <t>ref_clinic_type</t>
  </si>
  <si>
    <t>ClinicLocation</t>
  </si>
  <si>
    <t>ref_region_eli_text</t>
  </si>
  <si>
    <t>PatientCare</t>
  </si>
  <si>
    <t>ref_preferred_examiner_sex</t>
  </si>
  <si>
    <t>Consultant</t>
  </si>
  <si>
    <t>ref_method_of_arrival</t>
  </si>
  <si>
    <t>ref_time_of_arrival</t>
  </si>
  <si>
    <t>04/03/2024</t>
  </si>
  <si>
    <t>05/03/2024</t>
  </si>
  <si>
    <t>Clinical</t>
  </si>
  <si>
    <t>Email</t>
  </si>
  <si>
    <t>General Medicine Automation</t>
  </si>
  <si>
    <t>HP Region1</t>
  </si>
  <si>
    <t>Male</t>
  </si>
  <si>
    <t>Ambulance</t>
  </si>
  <si>
    <t>pat_name_other_lang</t>
  </si>
  <si>
    <t>pat_need_interpreter_at_appointments</t>
  </si>
  <si>
    <t>Cellma</t>
  </si>
  <si>
    <t>Pune.India@gmail.com</t>
  </si>
  <si>
    <t>Givenname</t>
  </si>
  <si>
    <t>Familyname</t>
  </si>
  <si>
    <t>Riomed UK</t>
  </si>
  <si>
    <t>Riomed UK, FC Road</t>
  </si>
  <si>
    <t>Ganga Capital</t>
  </si>
  <si>
    <t>4110 02</t>
  </si>
  <si>
    <t>SPInd001</t>
  </si>
  <si>
    <t>Flat no 2505</t>
  </si>
  <si>
    <t>4110 14</t>
  </si>
  <si>
    <t>ForestCounty</t>
  </si>
  <si>
    <t>Lane No 1</t>
  </si>
  <si>
    <t>44244244</t>
  </si>
  <si>
    <t>PIP@gmail.com</t>
  </si>
  <si>
    <t>11255255</t>
  </si>
  <si>
    <t>22547545</t>
  </si>
  <si>
    <t>9890098900</t>
  </si>
  <si>
    <t>pat_dod</t>
  </si>
  <si>
    <t>pat_tod</t>
  </si>
  <si>
    <t>pat_dead_confirmation_status</t>
  </si>
  <si>
    <t>pat_death_notes</t>
  </si>
  <si>
    <t>confirmed</t>
  </si>
  <si>
    <t>Added For Testing</t>
  </si>
  <si>
    <t>pod_cause</t>
  </si>
  <si>
    <t>pod_cause_code</t>
  </si>
  <si>
    <t>pod_cause_code_type</t>
  </si>
  <si>
    <t>Cryptosporidiosis</t>
  </si>
  <si>
    <t>icd10</t>
  </si>
  <si>
    <t>pod_cause_of_death_type_eli_text</t>
  </si>
  <si>
    <t>Cancer</t>
  </si>
  <si>
    <t>Self</t>
  </si>
  <si>
    <t>In Patient</t>
  </si>
  <si>
    <t>4000 28</t>
  </si>
  <si>
    <t>Kharadi</t>
  </si>
  <si>
    <t>Priya</t>
  </si>
  <si>
    <t>Kolhe</t>
  </si>
  <si>
    <t>Kolhe Priya R</t>
  </si>
  <si>
    <t>ParkInfinia</t>
  </si>
  <si>
    <t>Added This patient for Testing</t>
  </si>
  <si>
    <t>Added Permanent Address Notes</t>
  </si>
  <si>
    <t>Added temp address for testing</t>
  </si>
  <si>
    <t>NHS002</t>
  </si>
  <si>
    <t>15 number</t>
  </si>
  <si>
    <t>Hadapsar</t>
  </si>
  <si>
    <t>4110 01</t>
  </si>
  <si>
    <t>Flat no 101</t>
  </si>
  <si>
    <t>Sai Capital</t>
  </si>
  <si>
    <t>4110 28</t>
  </si>
  <si>
    <t>pip_next_of_kin_Yes</t>
  </si>
  <si>
    <t>pip_receive_patient_letter_no</t>
  </si>
  <si>
    <t>pip_receive_pat_appt_letter_no</t>
  </si>
  <si>
    <t>Aadhar Card</t>
  </si>
  <si>
    <t>989798979897</t>
  </si>
  <si>
    <t>A07.2</t>
  </si>
  <si>
    <t>prerelease.auto</t>
  </si>
  <si>
    <t>Manoj@2023</t>
  </si>
  <si>
    <t>manoj.auto</t>
  </si>
  <si>
    <t>thayne.auto</t>
  </si>
  <si>
    <t>Thayne@2024</t>
  </si>
  <si>
    <t>jadon.auto</t>
  </si>
  <si>
    <t>Jadon@2024</t>
  </si>
  <si>
    <t>22/09/2023</t>
  </si>
  <si>
    <t>29/10/2023</t>
  </si>
  <si>
    <t>Cardiology Clinic</t>
  </si>
  <si>
    <t>ref_clinic_location</t>
  </si>
  <si>
    <t>Cath Lab Location</t>
  </si>
  <si>
    <t>ref_preferred_examiner_sex_entry</t>
  </si>
  <si>
    <t>12:00:00</t>
  </si>
  <si>
    <t>male</t>
  </si>
  <si>
    <t>11:00:00</t>
  </si>
  <si>
    <t>00:11</t>
  </si>
  <si>
    <t>Manoj@2024</t>
  </si>
  <si>
    <t>IDF007</t>
  </si>
  <si>
    <t>hospRef1001</t>
  </si>
  <si>
    <t>Sakal</t>
  </si>
  <si>
    <t>United Kingdom of Great Britain and Northern Ireland</t>
  </si>
  <si>
    <t>pip_chiNumber</t>
  </si>
  <si>
    <t>123456</t>
  </si>
  <si>
    <t>Pulmonary candidosis</t>
  </si>
  <si>
    <t>1F23.31</t>
  </si>
  <si>
    <t>ABADI</t>
  </si>
  <si>
    <t>HospLin16</t>
  </si>
  <si>
    <t>LinuxPatAo</t>
  </si>
  <si>
    <t>Manoj@2025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</si>
</sst>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  <xf numFmtId="0" fontId="0" fillId="2" borderId="0" xfId="0" applyFill="1"/>
    <xf numFmtId="0" fontId="1" fillId="2" borderId="0" xfId="1" applyFill="1"/>
    <xf numFmtId="0" fontId="0" fillId="2" borderId="0" xfId="0" applyFill="1" applyAlignment="1">
      <alignment horizontal="left"/>
    </xf>
    <xf numFmtId="0" fontId="0" fillId="0" borderId="0" xfId="0" applyAlignment="1">
      <alignment vertical="center" wrapText="1"/>
    </xf>
    <xf numFmtId="0" fontId="1" fillId="0" borderId="0" xfId="1" quotePrefix="1" applyAlignment="1">
      <alignment horizontal="left" vertical="center"/>
    </xf>
    <xf numFmtId="14" fontId="0" fillId="0" borderId="0" xfId="0" quotePrefix="1" applyNumberFormat="1" applyAlignment="1">
      <alignment vertical="center" wrapText="1"/>
    </xf>
    <xf numFmtId="0" fontId="0" fillId="0" borderId="0" xfId="0" quotePrefix="1"/>
    <xf numFmtId="0" fontId="0" fillId="0" borderId="0" xfId="0" applyAlignment="1">
      <alignment wrapText="1"/>
    </xf>
    <xf numFmtId="0" fontId="0" fillId="2" borderId="0" xfId="0" applyFill="1" applyAlignment="1">
      <alignment vertical="center" wrapText="1"/>
    </xf>
    <xf numFmtId="0" fontId="0" fillId="3" borderId="0" xfId="0" applyFill="1"/>
    <xf numFmtId="14" fontId="0" fillId="0" borderId="0" xfId="0" quotePrefix="1" applyNumberFormat="1"/>
    <xf numFmtId="20" fontId="0" fillId="0" borderId="0" xfId="0" quotePrefix="1" applyNumberFormat="1"/>
    <xf numFmtId="21" fontId="0" fillId="0" borderId="0" xfId="0" quotePrefix="1" applyNumberFormat="1" applyAlignment="1">
      <alignment vertical="center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hayne@2024" TargetMode="External"/><Relationship Id="rId2" Type="http://schemas.openxmlformats.org/officeDocument/2006/relationships/hyperlink" Target="mailto:Manoj@2023" TargetMode="External"/><Relationship Id="rId1" Type="http://schemas.openxmlformats.org/officeDocument/2006/relationships/hyperlink" Target="mailto:Manoj@2025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anoj@2024" TargetMode="External"/><Relationship Id="rId4" Type="http://schemas.openxmlformats.org/officeDocument/2006/relationships/hyperlink" Target="mailto:Jadon@202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PIP@gmail.com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mailto:PI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4" sqref="B4"/>
    </sheetView>
  </sheetViews>
  <sheetFormatPr defaultRowHeight="15" x14ac:dyDescent="0.25"/>
  <cols>
    <col min="1" max="1" width="21.42578125" customWidth="1"/>
    <col min="2" max="2" width="17.5703125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239</v>
      </c>
      <c r="B2" s="1" t="s">
        <v>254</v>
      </c>
    </row>
    <row r="3" spans="1:2" x14ac:dyDescent="0.25">
      <c r="A3" t="s">
        <v>240</v>
      </c>
      <c r="B3" s="1" t="s">
        <v>241</v>
      </c>
    </row>
    <row r="4" spans="1:2" x14ac:dyDescent="0.25">
      <c r="A4" s="6" t="s">
        <v>237</v>
      </c>
      <c r="B4" s="1" t="s">
        <v>266</v>
      </c>
    </row>
    <row r="5" spans="1:2" x14ac:dyDescent="0.25">
      <c r="A5" s="6" t="s">
        <v>239</v>
      </c>
      <c r="B5" t="s">
        <v>238</v>
      </c>
    </row>
    <row r="6" spans="1:2" x14ac:dyDescent="0.25">
      <c r="A6" t="s">
        <v>242</v>
      </c>
      <c r="B6" t="s">
        <v>243</v>
      </c>
    </row>
  </sheetData>
  <hyperlinks>
    <hyperlink ref="B4" r:id="rId1" xr:uid="{F1C2164F-C336-4351-B74C-C58A605D7635}"/>
    <hyperlink ref="B5" r:id="rId2" tooltip="mailto:manoj@2023" display="mailto:Manoj@2023" xr:uid="{BC785DAB-B542-4C25-BE03-C3C98AFBFAAA}"/>
    <hyperlink ref="B3" r:id="rId3" xr:uid="{F36B60ED-7A12-4300-A318-ECC72E93F7B0}"/>
    <hyperlink ref="B6" r:id="rId4" xr:uid="{50EDB99B-B404-4D81-AB00-BCD8320BF130}"/>
    <hyperlink ref="B2" r:id="rId5" xr:uid="{8E5034F6-33F0-4C8F-BFC6-E9167C0C58ED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A85D-BF9E-4195-B308-46228FB58B18}">
  <sheetPr>
    <tabColor rgb="FFFFFF00"/>
  </sheetPr>
  <dimension ref="A1:AV6"/>
  <sheetViews>
    <sheetView workbookViewId="0">
      <selection activeCell="F2" sqref="F2"/>
    </sheetView>
  </sheetViews>
  <sheetFormatPr defaultColWidth="9.42578125" defaultRowHeight="15" x14ac:dyDescent="0.25"/>
  <cols>
    <col min="1" max="1" width="21.5703125" style="2" customWidth="1"/>
    <col min="2" max="2" width="16" style="2" customWidth="1"/>
    <col min="3" max="3" width="15.5703125" style="2" customWidth="1"/>
    <col min="4" max="8" width="15" style="2" customWidth="1"/>
    <col min="9" max="9" width="17.5703125" style="2" customWidth="1"/>
    <col min="10" max="10" width="16" style="2" customWidth="1"/>
    <col min="11" max="11" width="17.5703125" style="2" bestFit="1" customWidth="1"/>
    <col min="12" max="12" width="14.5703125" style="2" bestFit="1" customWidth="1"/>
    <col min="13" max="13" width="19.42578125" style="2" customWidth="1"/>
    <col min="14" max="14" width="8.5703125" style="2" bestFit="1" customWidth="1"/>
    <col min="15" max="15" width="10.42578125" style="2" bestFit="1" customWidth="1"/>
    <col min="16" max="16" width="17.5703125" style="2" bestFit="1" customWidth="1"/>
    <col min="17" max="17" width="18" style="2" bestFit="1" customWidth="1"/>
    <col min="18" max="18" width="16.42578125" style="2" bestFit="1" customWidth="1"/>
    <col min="19" max="19" width="11.5703125" style="2" bestFit="1" customWidth="1"/>
    <col min="20" max="20" width="9.42578125" style="2"/>
    <col min="21" max="21" width="16.42578125" style="2" bestFit="1" customWidth="1"/>
    <col min="22" max="22" width="16.42578125" style="2" customWidth="1"/>
    <col min="23" max="27" width="9.42578125" style="2"/>
    <col min="28" max="28" width="12.5703125" style="2" customWidth="1"/>
    <col min="29" max="40" width="9.42578125" style="2"/>
    <col min="41" max="41" width="8.5703125" customWidth="1"/>
    <col min="42" max="16384" width="9.42578125" style="2"/>
  </cols>
  <sheetData>
    <row r="1" spans="1:48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126</v>
      </c>
      <c r="W1" t="s">
        <v>38</v>
      </c>
      <c r="X1" t="s">
        <v>127</v>
      </c>
      <c r="Y1" t="s">
        <v>39</v>
      </c>
      <c r="Z1" t="s">
        <v>37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40</v>
      </c>
      <c r="AJ1" t="s">
        <v>44</v>
      </c>
      <c r="AK1" t="s">
        <v>61</v>
      </c>
      <c r="AL1" t="s">
        <v>62</v>
      </c>
      <c r="AM1" t="s">
        <v>45</v>
      </c>
      <c r="AN1" t="s">
        <v>63</v>
      </c>
      <c r="AO1" t="s">
        <v>129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41</v>
      </c>
      <c r="AV1" t="s">
        <v>42</v>
      </c>
    </row>
    <row r="2" spans="1:48" ht="30" x14ac:dyDescent="0.25">
      <c r="B2" s="11" t="s">
        <v>264</v>
      </c>
      <c r="E2" s="6" t="s">
        <v>110</v>
      </c>
      <c r="F2" s="11" t="s">
        <v>265</v>
      </c>
      <c r="G2" s="6" t="s">
        <v>107</v>
      </c>
      <c r="H2" s="6" t="s">
        <v>178</v>
      </c>
      <c r="I2" s="7" t="s">
        <v>244</v>
      </c>
      <c r="J2" s="2" t="s">
        <v>112</v>
      </c>
      <c r="K2" s="2" t="s">
        <v>113</v>
      </c>
      <c r="L2" s="2" t="s">
        <v>114</v>
      </c>
      <c r="M2" s="6" t="s">
        <v>221</v>
      </c>
      <c r="N2" s="2" t="s">
        <v>115</v>
      </c>
      <c r="P2" s="6" t="s">
        <v>18</v>
      </c>
      <c r="R2" s="2" t="s">
        <v>116</v>
      </c>
      <c r="S2" s="6" t="s">
        <v>118</v>
      </c>
      <c r="U2" s="6" t="s">
        <v>119</v>
      </c>
      <c r="V2" s="6" t="s">
        <v>128</v>
      </c>
      <c r="W2" s="2">
        <v>0</v>
      </c>
      <c r="X2" s="6" t="s">
        <v>128</v>
      </c>
      <c r="Y2" s="2">
        <v>0</v>
      </c>
      <c r="Z2" s="6" t="s">
        <v>120</v>
      </c>
      <c r="AB2" s="8">
        <f ca="1">TODAY()</f>
        <v>45975</v>
      </c>
      <c r="AI2" s="6" t="s">
        <v>30</v>
      </c>
      <c r="AJ2" s="6" t="s">
        <v>111</v>
      </c>
      <c r="AM2" s="6" t="s">
        <v>113</v>
      </c>
      <c r="AO2" t="s">
        <v>128</v>
      </c>
      <c r="AQ2" s="6" t="s">
        <v>122</v>
      </c>
      <c r="AR2" s="2" t="s">
        <v>18</v>
      </c>
      <c r="AU2" s="6" t="s">
        <v>123</v>
      </c>
      <c r="AV2" s="6" t="s">
        <v>124</v>
      </c>
    </row>
    <row r="3" spans="1:48" x14ac:dyDescent="0.25">
      <c r="B3" s="6"/>
      <c r="E3" s="6"/>
      <c r="F3" s="6"/>
      <c r="G3" s="6"/>
      <c r="H3" s="6"/>
      <c r="I3" s="7"/>
      <c r="M3" s="6"/>
      <c r="P3" s="6"/>
      <c r="S3" s="6"/>
      <c r="U3" s="6"/>
      <c r="V3" s="6"/>
      <c r="X3" s="6"/>
      <c r="Z3" s="6"/>
      <c r="AB3" s="8"/>
      <c r="AI3" s="6"/>
      <c r="AJ3" s="6"/>
      <c r="AM3" s="6"/>
      <c r="AQ3" s="6"/>
      <c r="AU3" s="6"/>
      <c r="AV3" s="6"/>
    </row>
    <row r="4" spans="1:48" x14ac:dyDescent="0.25">
      <c r="B4" s="6"/>
      <c r="E4" s="6"/>
      <c r="F4" s="6"/>
      <c r="G4" s="6"/>
      <c r="H4" s="6"/>
      <c r="I4" s="7"/>
      <c r="M4" s="6"/>
      <c r="P4" s="6"/>
      <c r="S4" s="6"/>
      <c r="U4" s="6"/>
      <c r="V4" s="6"/>
      <c r="X4" s="6"/>
      <c r="Z4" s="6"/>
      <c r="AB4" s="8"/>
      <c r="AI4" s="6"/>
      <c r="AJ4" s="6"/>
      <c r="AM4" s="6"/>
      <c r="AQ4" s="6"/>
      <c r="AU4" s="6"/>
      <c r="AV4" s="6"/>
    </row>
    <row r="5" spans="1:48" x14ac:dyDescent="0.25">
      <c r="B5" s="6"/>
      <c r="E5" s="6"/>
      <c r="F5" s="6"/>
      <c r="G5" s="6"/>
      <c r="H5" s="6"/>
      <c r="I5" s="7"/>
      <c r="M5" s="6"/>
      <c r="P5" s="6"/>
      <c r="S5" s="6"/>
      <c r="U5" s="6"/>
      <c r="V5" s="6"/>
      <c r="X5" s="6"/>
      <c r="Z5" s="6"/>
      <c r="AB5" s="8"/>
      <c r="AI5" s="6"/>
      <c r="AJ5" s="6"/>
      <c r="AM5" s="6"/>
      <c r="AQ5" s="6"/>
      <c r="AU5" s="6"/>
      <c r="AV5" s="6"/>
    </row>
    <row r="6" spans="1:48" x14ac:dyDescent="0.25">
      <c r="B6" s="6"/>
      <c r="E6" s="6"/>
      <c r="F6" s="6"/>
      <c r="G6" s="6"/>
      <c r="H6" s="6"/>
      <c r="I6" s="7"/>
      <c r="M6" s="6"/>
      <c r="P6" s="6"/>
      <c r="S6" s="6"/>
      <c r="U6" s="6"/>
      <c r="V6" s="6"/>
      <c r="X6" s="6"/>
      <c r="Z6" s="6"/>
      <c r="AB6" s="8"/>
      <c r="AI6" s="6"/>
      <c r="AJ6" s="6"/>
      <c r="AM6" s="6"/>
      <c r="AQ6" s="6"/>
      <c r="AU6" s="6"/>
      <c r="AV6" s="6"/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63BE-0933-440E-905E-1D893EA554E2}">
  <dimension ref="A1:AU2"/>
  <sheetViews>
    <sheetView workbookViewId="0">
      <selection activeCell="M2" sqref="M2"/>
    </sheetView>
  </sheetViews>
  <sheetFormatPr defaultRowHeight="15" x14ac:dyDescent="0.25"/>
  <cols>
    <col min="1" max="1" width="17.5703125" customWidth="1"/>
    <col min="2" max="2" width="13.5703125" customWidth="1"/>
    <col min="3" max="3" width="13.42578125" customWidth="1"/>
    <col min="4" max="4" width="10.5703125" customWidth="1"/>
    <col min="5" max="6" width="12.42578125" customWidth="1"/>
    <col min="7" max="7" width="13.42578125" customWidth="1"/>
    <col min="10" max="10" width="13.42578125" customWidth="1"/>
    <col min="11" max="11" width="12" customWidth="1"/>
    <col min="23" max="24" width="22.5703125" customWidth="1"/>
    <col min="40" max="40" width="16.42578125" customWidth="1"/>
    <col min="42" max="42" width="13.42578125" customWidth="1"/>
    <col min="46" max="46" width="14.5703125" customWidth="1"/>
  </cols>
  <sheetData>
    <row r="1" spans="1:47" s="2" customFormat="1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38</v>
      </c>
      <c r="W1" t="s">
        <v>39</v>
      </c>
      <c r="X1" t="s">
        <v>127</v>
      </c>
      <c r="Y1" t="s">
        <v>37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40</v>
      </c>
      <c r="AI1" t="s">
        <v>44</v>
      </c>
      <c r="AJ1" t="s">
        <v>61</v>
      </c>
      <c r="AK1" t="s">
        <v>62</v>
      </c>
      <c r="AL1" t="s">
        <v>45</v>
      </c>
      <c r="AM1" t="s">
        <v>63</v>
      </c>
      <c r="AN1" t="s">
        <v>129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t="s">
        <v>41</v>
      </c>
      <c r="AU1" t="s">
        <v>42</v>
      </c>
    </row>
    <row r="2" spans="1:47" ht="45" x14ac:dyDescent="0.25">
      <c r="B2" s="6" t="s">
        <v>125</v>
      </c>
      <c r="E2" s="6" t="s">
        <v>110</v>
      </c>
      <c r="F2" s="6" t="str">
        <f>addPatient!F2</f>
        <v>LinuxPatAo</v>
      </c>
      <c r="G2" s="6" t="str">
        <f>addPatient!G2</f>
        <v>Riomed</v>
      </c>
      <c r="H2" s="6" t="str">
        <f>addPatient!H2</f>
        <v>Male</v>
      </c>
      <c r="I2" s="7" t="str">
        <f>addPatient!I2</f>
        <v>22/09/2023</v>
      </c>
      <c r="J2" s="2" t="s">
        <v>112</v>
      </c>
      <c r="K2" s="2" t="s">
        <v>113</v>
      </c>
      <c r="L2" s="2" t="s">
        <v>114</v>
      </c>
      <c r="M2" s="6" t="s">
        <v>117</v>
      </c>
      <c r="N2" s="2" t="s">
        <v>115</v>
      </c>
      <c r="P2" s="6" t="s">
        <v>18</v>
      </c>
      <c r="R2" s="2" t="s">
        <v>116</v>
      </c>
      <c r="S2" s="6" t="s">
        <v>118</v>
      </c>
      <c r="U2" s="6" t="s">
        <v>119</v>
      </c>
      <c r="V2">
        <v>0</v>
      </c>
      <c r="W2">
        <v>0</v>
      </c>
      <c r="X2" t="s">
        <v>136</v>
      </c>
      <c r="Y2" s="6" t="s">
        <v>120</v>
      </c>
      <c r="AA2" s="8" t="s">
        <v>121</v>
      </c>
      <c r="AH2" s="6" t="s">
        <v>30</v>
      </c>
      <c r="AI2" s="6" t="s">
        <v>111</v>
      </c>
      <c r="AL2" s="6" t="s">
        <v>113</v>
      </c>
      <c r="AN2" t="s">
        <v>128</v>
      </c>
      <c r="AO2">
        <v>0</v>
      </c>
      <c r="AP2" s="6" t="s">
        <v>122</v>
      </c>
      <c r="AQ2" s="2" t="s">
        <v>18</v>
      </c>
      <c r="AT2" s="6" t="s">
        <v>123</v>
      </c>
      <c r="AU2" s="6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982D-27CB-44F0-BAD5-33CF9D2DFB59}">
  <dimension ref="A1:J9"/>
  <sheetViews>
    <sheetView workbookViewId="0">
      <selection activeCell="D11" sqref="D11"/>
    </sheetView>
  </sheetViews>
  <sheetFormatPr defaultRowHeight="15" x14ac:dyDescent="0.25"/>
  <cols>
    <col min="1" max="1" width="14.42578125" customWidth="1"/>
    <col min="2" max="2" width="15.42578125" customWidth="1"/>
    <col min="3" max="3" width="11.42578125" customWidth="1"/>
    <col min="4" max="4" width="12.42578125" customWidth="1"/>
    <col min="5" max="6" width="13.5703125" customWidth="1"/>
    <col min="7" max="7" width="12.42578125" customWidth="1"/>
    <col min="8" max="8" width="11.5703125" customWidth="1"/>
    <col min="9" max="9" width="15.5703125" customWidth="1"/>
    <col min="10" max="10" width="14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34</v>
      </c>
      <c r="G1" s="2" t="s">
        <v>33</v>
      </c>
      <c r="H1" s="2" t="s">
        <v>32</v>
      </c>
      <c r="I1" s="2" t="s">
        <v>8</v>
      </c>
      <c r="J1" t="s">
        <v>16</v>
      </c>
    </row>
    <row r="2" spans="1:10" x14ac:dyDescent="0.25">
      <c r="A2" s="6" t="str">
        <f>addPatient!F2</f>
        <v>LinuxPatAo</v>
      </c>
      <c r="B2" s="6" t="str">
        <f>addPatient!G2</f>
        <v>Riomed</v>
      </c>
      <c r="C2" s="6" t="str">
        <f>addPatient!H2</f>
        <v>Male</v>
      </c>
      <c r="D2" s="7" t="str">
        <f>addPatient!I2</f>
        <v>22/09/2023</v>
      </c>
      <c r="E2" s="6">
        <v>8962845424</v>
      </c>
      <c r="F2" s="6" t="s">
        <v>145</v>
      </c>
      <c r="G2" s="6" t="s">
        <v>30</v>
      </c>
      <c r="H2" s="6" t="s">
        <v>110</v>
      </c>
      <c r="I2" s="6" t="s">
        <v>119</v>
      </c>
      <c r="J2" t="str">
        <f>CONCATENATE(A2,"_",B2,"@Gmail.com")</f>
        <v>LinuxPatAo_Riomed@Gmail.com</v>
      </c>
    </row>
    <row r="3" spans="1:10" x14ac:dyDescent="0.25">
      <c r="A3" s="6"/>
      <c r="B3" s="6"/>
      <c r="C3" s="6"/>
      <c r="D3" s="7"/>
      <c r="E3" s="6"/>
      <c r="F3" s="6"/>
      <c r="G3" s="6"/>
      <c r="H3" s="6"/>
      <c r="I3" s="6"/>
    </row>
    <row r="4" spans="1:10" x14ac:dyDescent="0.25">
      <c r="A4" s="6"/>
      <c r="B4" s="6"/>
      <c r="C4" s="6"/>
      <c r="D4" s="7"/>
      <c r="E4" s="6"/>
      <c r="F4" s="6"/>
      <c r="G4" s="6"/>
      <c r="H4" s="6"/>
      <c r="I4" s="6"/>
    </row>
    <row r="5" spans="1:10" x14ac:dyDescent="0.25">
      <c r="A5" s="6"/>
      <c r="B5" s="6"/>
      <c r="C5" s="6"/>
      <c r="D5" s="7"/>
      <c r="E5" s="6"/>
      <c r="F5" s="6"/>
      <c r="G5" s="6"/>
      <c r="H5" s="6"/>
      <c r="I5" s="6"/>
    </row>
    <row r="6" spans="1:10" x14ac:dyDescent="0.25">
      <c r="A6" s="6"/>
      <c r="B6" s="6"/>
      <c r="C6" s="6"/>
      <c r="D6" s="7"/>
      <c r="E6" s="6"/>
      <c r="F6" s="6"/>
      <c r="G6" s="6"/>
      <c r="H6" s="6"/>
      <c r="I6" s="6"/>
    </row>
    <row r="7" spans="1:10" x14ac:dyDescent="0.25">
      <c r="A7" s="6"/>
      <c r="B7" s="6"/>
      <c r="C7" s="6"/>
      <c r="D7" s="7"/>
      <c r="E7" s="6"/>
      <c r="F7" s="6"/>
      <c r="G7" s="6"/>
      <c r="H7" s="6"/>
      <c r="I7" s="6"/>
    </row>
    <row r="8" spans="1:10" x14ac:dyDescent="0.25">
      <c r="A8" s="6"/>
      <c r="B8" s="6"/>
      <c r="C8" s="6"/>
      <c r="D8" s="7"/>
      <c r="E8" s="6"/>
      <c r="F8" s="6"/>
      <c r="G8" s="6"/>
      <c r="H8" s="6"/>
      <c r="I8" s="6"/>
    </row>
    <row r="9" spans="1:10" x14ac:dyDescent="0.25">
      <c r="A9" s="6"/>
      <c r="B9" s="6"/>
      <c r="C9" s="6"/>
      <c r="D9" s="7"/>
      <c r="E9" s="6"/>
      <c r="F9" s="6"/>
      <c r="G9" s="6"/>
      <c r="H9" s="6"/>
      <c r="I9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34AE-1F26-46D3-86C7-4473CEDF38FD}">
  <dimension ref="A1:O9"/>
  <sheetViews>
    <sheetView workbookViewId="0">
      <selection activeCell="I2" sqref="I2"/>
    </sheetView>
  </sheetViews>
  <sheetFormatPr defaultRowHeight="15" x14ac:dyDescent="0.25"/>
  <cols>
    <col min="1" max="1" width="15.42578125" customWidth="1"/>
    <col min="2" max="3" width="14.42578125" customWidth="1"/>
    <col min="4" max="5" width="16.5703125" customWidth="1"/>
    <col min="6" max="6" width="16" customWidth="1"/>
    <col min="7" max="7" width="12.5703125" customWidth="1"/>
    <col min="8" max="8" width="13.42578125" customWidth="1"/>
    <col min="9" max="9" width="19" customWidth="1"/>
    <col min="10" max="10" width="12.5703125" customWidth="1"/>
    <col min="11" max="11" width="15.5703125" customWidth="1"/>
    <col min="12" max="12" width="15.42578125" customWidth="1"/>
    <col min="13" max="13" width="12.5703125" customWidth="1"/>
    <col min="14" max="14" width="11.5703125" customWidth="1"/>
  </cols>
  <sheetData>
    <row r="1" spans="1:1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O1" t="s">
        <v>19</v>
      </c>
    </row>
    <row r="2" spans="1:15" x14ac:dyDescent="0.25">
      <c r="A2" t="s">
        <v>142</v>
      </c>
      <c r="B2" t="s">
        <v>144</v>
      </c>
      <c r="C2" t="s">
        <v>143</v>
      </c>
      <c r="D2" t="s">
        <v>122</v>
      </c>
      <c r="E2" t="s">
        <v>31</v>
      </c>
      <c r="F2" t="s">
        <v>258</v>
      </c>
      <c r="G2" s="3">
        <v>8888888800</v>
      </c>
      <c r="H2">
        <v>9762713710</v>
      </c>
      <c r="I2" t="str">
        <f>CONCATENATE(B2,"_",C2,"@gmail.com")</f>
        <v>Mumbai_SaiCapital@gmail.com</v>
      </c>
      <c r="J2" s="3">
        <v>8181808080</v>
      </c>
      <c r="K2" s="3">
        <v>666999</v>
      </c>
      <c r="L2" s="3">
        <v>91</v>
      </c>
      <c r="M2" s="3">
        <v>54215</v>
      </c>
      <c r="N2" s="3">
        <v>91</v>
      </c>
      <c r="O2" t="s">
        <v>223</v>
      </c>
    </row>
    <row r="3" spans="1:15" x14ac:dyDescent="0.25">
      <c r="G3" s="3"/>
      <c r="J3" s="3"/>
      <c r="K3" s="3"/>
      <c r="L3" s="3"/>
      <c r="M3" s="3"/>
      <c r="N3" s="3"/>
    </row>
    <row r="4" spans="1:15" x14ac:dyDescent="0.25">
      <c r="G4" s="3"/>
      <c r="J4" s="3"/>
      <c r="K4" s="3"/>
      <c r="L4" s="3"/>
      <c r="M4" s="3"/>
      <c r="N4" s="3"/>
    </row>
    <row r="5" spans="1:15" x14ac:dyDescent="0.25">
      <c r="G5" s="3"/>
      <c r="J5" s="3"/>
      <c r="K5" s="3"/>
      <c r="L5" s="3"/>
      <c r="M5" s="3"/>
      <c r="N5" s="3"/>
    </row>
    <row r="6" spans="1:15" x14ac:dyDescent="0.25">
      <c r="G6" s="3"/>
      <c r="J6" s="3"/>
      <c r="K6" s="3"/>
      <c r="L6" s="3"/>
      <c r="M6" s="3"/>
      <c r="N6" s="3"/>
    </row>
    <row r="7" spans="1:15" x14ac:dyDescent="0.25">
      <c r="G7" s="3"/>
      <c r="J7" s="3"/>
      <c r="K7" s="3"/>
      <c r="L7" s="3"/>
      <c r="M7" s="3"/>
      <c r="N7" s="3"/>
    </row>
    <row r="8" spans="1:15" x14ac:dyDescent="0.25">
      <c r="G8" s="3"/>
      <c r="J8" s="3"/>
      <c r="K8" s="3"/>
      <c r="L8" s="3"/>
      <c r="M8" s="3"/>
      <c r="N8" s="3"/>
    </row>
    <row r="9" spans="1:15" x14ac:dyDescent="0.25">
      <c r="G9" s="3"/>
      <c r="J9" s="3"/>
      <c r="K9" s="3"/>
      <c r="L9" s="3"/>
      <c r="M9" s="3"/>
      <c r="N9" s="3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611B-C6D9-4700-BED5-C8001268DCF7}">
  <dimension ref="A1:N9"/>
  <sheetViews>
    <sheetView workbookViewId="0">
      <selection activeCell="I2" sqref="I2"/>
    </sheetView>
  </sheetViews>
  <sheetFormatPr defaultRowHeight="15" x14ac:dyDescent="0.25"/>
  <cols>
    <col min="1" max="1" width="15.5703125" customWidth="1"/>
    <col min="2" max="3" width="14.42578125" customWidth="1"/>
    <col min="4" max="4" width="14" customWidth="1"/>
    <col min="5" max="8" width="14.42578125" customWidth="1"/>
    <col min="9" max="9" width="23.42578125" customWidth="1"/>
    <col min="10" max="11" width="14.42578125" customWidth="1"/>
    <col min="12" max="12" width="21" customWidth="1"/>
    <col min="13" max="13" width="10.5703125" customWidth="1"/>
    <col min="14" max="14" width="16.5703125" customWidth="1"/>
  </cols>
  <sheetData>
    <row r="1" spans="1:14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N1" t="s">
        <v>19</v>
      </c>
    </row>
    <row r="2" spans="1:14" x14ac:dyDescent="0.25">
      <c r="A2" t="s">
        <v>142</v>
      </c>
      <c r="B2" t="s">
        <v>144</v>
      </c>
      <c r="C2" t="s">
        <v>143</v>
      </c>
      <c r="D2" t="s">
        <v>122</v>
      </c>
      <c r="E2" t="s">
        <v>31</v>
      </c>
      <c r="F2" t="s">
        <v>258</v>
      </c>
      <c r="G2" s="3">
        <v>7700770077</v>
      </c>
      <c r="H2">
        <v>9762713710</v>
      </c>
      <c r="I2" s="4" t="str">
        <f>CONCATENATE(B2,"_",C2,"@gmail.com")</f>
        <v>Mumbai_SaiCapital@gmail.com</v>
      </c>
      <c r="J2" s="3">
        <v>112233</v>
      </c>
      <c r="K2" s="3">
        <v>9890098900</v>
      </c>
      <c r="L2" s="5">
        <v>91</v>
      </c>
      <c r="M2" s="3">
        <v>542152</v>
      </c>
      <c r="N2" t="s">
        <v>222</v>
      </c>
    </row>
    <row r="3" spans="1:14" x14ac:dyDescent="0.25">
      <c r="G3" s="3"/>
      <c r="I3" s="4"/>
      <c r="J3" s="3"/>
      <c r="K3" s="3"/>
      <c r="L3" s="5"/>
      <c r="M3" s="3"/>
    </row>
    <row r="4" spans="1:14" x14ac:dyDescent="0.25">
      <c r="G4" s="3"/>
      <c r="I4" s="4"/>
      <c r="J4" s="3"/>
      <c r="K4" s="3"/>
      <c r="L4" s="5"/>
      <c r="M4" s="3"/>
    </row>
    <row r="5" spans="1:14" x14ac:dyDescent="0.25">
      <c r="G5" s="3"/>
      <c r="I5" s="4"/>
      <c r="J5" s="3"/>
      <c r="K5" s="3"/>
      <c r="L5" s="5"/>
      <c r="M5" s="3"/>
    </row>
    <row r="6" spans="1:14" x14ac:dyDescent="0.25">
      <c r="G6" s="3"/>
      <c r="I6" s="4"/>
      <c r="J6" s="3"/>
      <c r="K6" s="3"/>
      <c r="L6" s="5"/>
      <c r="M6" s="3"/>
    </row>
    <row r="7" spans="1:14" x14ac:dyDescent="0.25">
      <c r="G7" s="3"/>
      <c r="I7" s="4"/>
      <c r="J7" s="3"/>
      <c r="K7" s="3"/>
      <c r="L7" s="5"/>
      <c r="M7" s="3"/>
    </row>
    <row r="8" spans="1:14" x14ac:dyDescent="0.25">
      <c r="G8" s="3"/>
      <c r="I8" s="4"/>
      <c r="J8" s="3"/>
      <c r="K8" s="3"/>
      <c r="L8" s="5"/>
      <c r="M8" s="3"/>
    </row>
    <row r="9" spans="1:14" x14ac:dyDescent="0.25">
      <c r="G9" s="3"/>
      <c r="I9" s="4"/>
      <c r="J9" s="3"/>
      <c r="K9" s="3"/>
      <c r="L9" s="5"/>
      <c r="M9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DAA9-84F9-4C02-808E-1D98E79EAD60}">
  <dimension ref="A1:AJ9"/>
  <sheetViews>
    <sheetView workbookViewId="0">
      <selection activeCell="S1" sqref="S1"/>
    </sheetView>
  </sheetViews>
  <sheetFormatPr defaultRowHeight="15" x14ac:dyDescent="0.25"/>
  <cols>
    <col min="1" max="1" width="11.5703125" customWidth="1"/>
    <col min="2" max="2" width="14" customWidth="1"/>
    <col min="3" max="3" width="16.42578125" customWidth="1"/>
    <col min="4" max="6" width="19.42578125" customWidth="1"/>
    <col min="7" max="7" width="15.42578125" customWidth="1"/>
    <col min="8" max="8" width="23.7109375" customWidth="1"/>
    <col min="9" max="9" width="11" customWidth="1"/>
    <col min="10" max="11" width="27.5703125" customWidth="1"/>
    <col min="16" max="16" width="10.5703125" bestFit="1" customWidth="1"/>
    <col min="17" max="17" width="14.5703125" bestFit="1" customWidth="1"/>
    <col min="18" max="18" width="20.5703125" bestFit="1" customWidth="1"/>
    <col min="19" max="19" width="18.5703125" bestFit="1" customWidth="1"/>
    <col min="20" max="20" width="21.5703125" bestFit="1" customWidth="1"/>
    <col min="21" max="21" width="21.5703125" customWidth="1"/>
    <col min="22" max="22" width="23" bestFit="1" customWidth="1"/>
    <col min="23" max="24" width="22.42578125" customWidth="1"/>
    <col min="25" max="26" width="17.5703125" bestFit="1" customWidth="1"/>
    <col min="27" max="27" width="16.5703125" customWidth="1"/>
    <col min="28" max="28" width="16.5703125" bestFit="1" customWidth="1"/>
    <col min="30" max="31" width="35.5703125" customWidth="1"/>
    <col min="32" max="33" width="27.42578125" customWidth="1"/>
  </cols>
  <sheetData>
    <row r="1" spans="1:36" x14ac:dyDescent="0.25">
      <c r="A1" t="s">
        <v>72</v>
      </c>
      <c r="B1" t="s">
        <v>4</v>
      </c>
      <c r="C1" t="s">
        <v>5</v>
      </c>
      <c r="D1" t="s">
        <v>73</v>
      </c>
      <c r="E1" t="s">
        <v>74</v>
      </c>
      <c r="F1" t="s">
        <v>231</v>
      </c>
      <c r="G1" t="s">
        <v>74</v>
      </c>
      <c r="H1" t="s">
        <v>75</v>
      </c>
      <c r="I1" t="s">
        <v>135</v>
      </c>
      <c r="J1" t="s">
        <v>76</v>
      </c>
      <c r="K1" t="s">
        <v>135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259</v>
      </c>
      <c r="V1" t="s">
        <v>139</v>
      </c>
      <c r="W1" t="s">
        <v>86</v>
      </c>
      <c r="X1" t="s">
        <v>139</v>
      </c>
      <c r="Y1" t="s">
        <v>87</v>
      </c>
      <c r="Z1" t="s">
        <v>141</v>
      </c>
      <c r="AA1" t="s">
        <v>88</v>
      </c>
      <c r="AB1" t="s">
        <v>89</v>
      </c>
      <c r="AC1" t="s">
        <v>90</v>
      </c>
      <c r="AD1" t="s">
        <v>91</v>
      </c>
      <c r="AE1" t="s">
        <v>233</v>
      </c>
      <c r="AF1" t="s">
        <v>92</v>
      </c>
      <c r="AG1" t="s">
        <v>232</v>
      </c>
      <c r="AH1" t="s">
        <v>93</v>
      </c>
      <c r="AI1" t="s">
        <v>94</v>
      </c>
      <c r="AJ1" t="s">
        <v>95</v>
      </c>
    </row>
    <row r="2" spans="1:36" x14ac:dyDescent="0.25">
      <c r="A2" t="s">
        <v>130</v>
      </c>
      <c r="B2" t="s">
        <v>131</v>
      </c>
      <c r="C2" t="s">
        <v>132</v>
      </c>
      <c r="D2" t="s">
        <v>133</v>
      </c>
      <c r="E2">
        <v>1</v>
      </c>
      <c r="F2" t="s">
        <v>136</v>
      </c>
      <c r="G2">
        <v>0</v>
      </c>
      <c r="H2" t="s">
        <v>109</v>
      </c>
      <c r="I2" t="s">
        <v>136</v>
      </c>
      <c r="J2">
        <v>1</v>
      </c>
      <c r="K2" t="s">
        <v>136</v>
      </c>
      <c r="N2" t="s">
        <v>137</v>
      </c>
      <c r="O2" t="s">
        <v>111</v>
      </c>
      <c r="P2" s="9" t="s">
        <v>138</v>
      </c>
      <c r="S2" t="s">
        <v>234</v>
      </c>
      <c r="T2" s="9" t="s">
        <v>235</v>
      </c>
      <c r="U2" s="9" t="s">
        <v>260</v>
      </c>
      <c r="V2" t="s">
        <v>136</v>
      </c>
      <c r="W2">
        <v>1</v>
      </c>
      <c r="X2" t="s">
        <v>136</v>
      </c>
      <c r="Z2" t="s">
        <v>113</v>
      </c>
      <c r="AA2">
        <v>6882</v>
      </c>
      <c r="AD2">
        <v>0</v>
      </c>
      <c r="AE2" t="s">
        <v>128</v>
      </c>
      <c r="AF2">
        <v>0</v>
      </c>
      <c r="AG2" t="s">
        <v>128</v>
      </c>
      <c r="AI2" t="s">
        <v>140</v>
      </c>
    </row>
    <row r="3" spans="1:36" x14ac:dyDescent="0.25">
      <c r="P3" s="9"/>
      <c r="T3" s="9"/>
      <c r="U3" s="9"/>
    </row>
    <row r="4" spans="1:36" x14ac:dyDescent="0.25">
      <c r="P4" s="9"/>
      <c r="T4" s="9"/>
      <c r="U4" s="9"/>
    </row>
    <row r="5" spans="1:36" x14ac:dyDescent="0.25">
      <c r="P5" s="9"/>
      <c r="T5" s="9"/>
      <c r="U5" s="9"/>
    </row>
    <row r="6" spans="1:36" x14ac:dyDescent="0.25">
      <c r="P6" s="9"/>
      <c r="T6" s="9"/>
      <c r="U6" s="9"/>
    </row>
    <row r="7" spans="1:36" x14ac:dyDescent="0.25">
      <c r="P7" s="9"/>
      <c r="T7" s="9"/>
      <c r="U7" s="9"/>
    </row>
    <row r="8" spans="1:36" x14ac:dyDescent="0.25">
      <c r="P8" s="9"/>
      <c r="T8" s="9"/>
      <c r="U8" s="9"/>
    </row>
    <row r="9" spans="1:36" x14ac:dyDescent="0.25">
      <c r="P9" s="9"/>
      <c r="T9" s="9"/>
      <c r="U9" s="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0DDD-DC89-4311-A967-D98606D66625}">
  <dimension ref="A1:R9"/>
  <sheetViews>
    <sheetView workbookViewId="0">
      <selection activeCell="L22" sqref="L22"/>
    </sheetView>
  </sheetViews>
  <sheetFormatPr defaultRowHeight="15" x14ac:dyDescent="0.25"/>
  <cols>
    <col min="1" max="1" width="13.42578125" bestFit="1" customWidth="1"/>
    <col min="7" max="7" width="11" bestFit="1" customWidth="1"/>
    <col min="8" max="8" width="11.5703125" bestFit="1" customWidth="1"/>
    <col min="9" max="9" width="10.42578125" bestFit="1" customWidth="1"/>
    <col min="10" max="10" width="10" bestFit="1" customWidth="1"/>
    <col min="11" max="11" width="16.5703125" bestFit="1" customWidth="1"/>
  </cols>
  <sheetData>
    <row r="1" spans="1:1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70</v>
      </c>
      <c r="M1" t="s">
        <v>71</v>
      </c>
      <c r="O1" t="s">
        <v>27</v>
      </c>
      <c r="P1" t="s">
        <v>28</v>
      </c>
      <c r="R1" t="s">
        <v>19</v>
      </c>
    </row>
    <row r="2" spans="1:18" ht="30" x14ac:dyDescent="0.25">
      <c r="A2" s="6" t="s">
        <v>228</v>
      </c>
      <c r="B2" s="6" t="s">
        <v>18</v>
      </c>
      <c r="C2" s="6" t="s">
        <v>229</v>
      </c>
      <c r="D2" s="6" t="s">
        <v>30</v>
      </c>
      <c r="E2" s="6" t="s">
        <v>230</v>
      </c>
      <c r="F2" s="6" t="s">
        <v>30</v>
      </c>
      <c r="G2" s="6">
        <v>9854148754</v>
      </c>
      <c r="H2" s="6">
        <v>9890098900</v>
      </c>
      <c r="I2" s="6" t="s">
        <v>196</v>
      </c>
      <c r="J2" s="6">
        <v>985421547</v>
      </c>
      <c r="K2" s="6">
        <v>22547545</v>
      </c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8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8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8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8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8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FCE3-ED92-425B-8C9D-8118C11F682A}">
  <dimension ref="A1:H2"/>
  <sheetViews>
    <sheetView workbookViewId="0">
      <selection activeCell="D12" sqref="D12"/>
    </sheetView>
  </sheetViews>
  <sheetFormatPr defaultRowHeight="15" x14ac:dyDescent="0.25"/>
  <cols>
    <col min="1" max="1" width="15.5703125" customWidth="1"/>
    <col min="2" max="2" width="12.42578125" customWidth="1"/>
    <col min="3" max="3" width="15" bestFit="1" customWidth="1"/>
    <col min="4" max="4" width="13.42578125" bestFit="1" customWidth="1"/>
    <col min="5" max="5" width="17.5703125" customWidth="1"/>
    <col min="6" max="6" width="16" customWidth="1"/>
    <col min="7" max="7" width="14.42578125" bestFit="1" customWidth="1"/>
    <col min="8" max="8" width="13.5703125" customWidth="1"/>
  </cols>
  <sheetData>
    <row r="1" spans="1:8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103</v>
      </c>
      <c r="G1" t="s">
        <v>105</v>
      </c>
      <c r="H1" t="s">
        <v>106</v>
      </c>
    </row>
    <row r="2" spans="1:8" x14ac:dyDescent="0.25">
      <c r="A2" t="s">
        <v>130</v>
      </c>
      <c r="B2" t="s">
        <v>146</v>
      </c>
      <c r="C2" t="s">
        <v>217</v>
      </c>
      <c r="D2" t="s">
        <v>218</v>
      </c>
      <c r="E2" t="s">
        <v>149</v>
      </c>
      <c r="F2" t="s">
        <v>150</v>
      </c>
      <c r="G2" t="s">
        <v>151</v>
      </c>
      <c r="H2" t="s">
        <v>219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200B-D516-43D7-89EF-613AA5124170}">
  <dimension ref="A1:L9"/>
  <sheetViews>
    <sheetView workbookViewId="0">
      <selection activeCell="F2" sqref="F2"/>
    </sheetView>
  </sheetViews>
  <sheetFormatPr defaultRowHeight="15" x14ac:dyDescent="0.25"/>
  <cols>
    <col min="1" max="1" width="16.42578125" customWidth="1"/>
    <col min="2" max="2" width="14.42578125" customWidth="1"/>
    <col min="3" max="3" width="17.5703125" customWidth="1"/>
    <col min="4" max="4" width="15.5703125" customWidth="1"/>
    <col min="5" max="5" width="18.42578125" customWidth="1"/>
    <col min="6" max="6" width="18" customWidth="1"/>
    <col min="7" max="7" width="11.5703125" customWidth="1"/>
    <col min="8" max="8" width="14.5703125" customWidth="1"/>
    <col min="11" max="11" width="11.5703125" bestFit="1" customWidth="1"/>
  </cols>
  <sheetData>
    <row r="1" spans="1:12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14</v>
      </c>
      <c r="H1" t="s">
        <v>15</v>
      </c>
      <c r="I1" t="s">
        <v>17</v>
      </c>
      <c r="J1" t="s">
        <v>29</v>
      </c>
      <c r="K1" t="s">
        <v>69</v>
      </c>
      <c r="L1" t="s">
        <v>16</v>
      </c>
    </row>
    <row r="2" spans="1:12" x14ac:dyDescent="0.25">
      <c r="A2" s="9" t="s">
        <v>220</v>
      </c>
      <c r="B2" t="s">
        <v>216</v>
      </c>
      <c r="C2" t="s">
        <v>18</v>
      </c>
      <c r="D2" t="s">
        <v>122</v>
      </c>
      <c r="E2" s="9" t="s">
        <v>215</v>
      </c>
      <c r="F2" t="s">
        <v>258</v>
      </c>
      <c r="G2" t="s">
        <v>30</v>
      </c>
      <c r="H2" s="9" t="s">
        <v>195</v>
      </c>
      <c r="I2">
        <v>11255255</v>
      </c>
      <c r="J2">
        <v>22547545</v>
      </c>
      <c r="K2">
        <v>9890098900</v>
      </c>
      <c r="L2" s="1" t="s">
        <v>196</v>
      </c>
    </row>
    <row r="3" spans="1:12" x14ac:dyDescent="0.25">
      <c r="A3" s="9"/>
      <c r="E3" s="9"/>
      <c r="H3" s="9"/>
      <c r="L3" s="1"/>
    </row>
    <row r="4" spans="1:12" x14ac:dyDescent="0.25">
      <c r="A4" s="9"/>
      <c r="E4" s="9"/>
      <c r="H4" s="9"/>
      <c r="L4" s="1"/>
    </row>
    <row r="5" spans="1:12" x14ac:dyDescent="0.25">
      <c r="A5" s="9"/>
      <c r="E5" s="9"/>
      <c r="H5" s="9"/>
      <c r="L5" s="1"/>
    </row>
    <row r="6" spans="1:12" x14ac:dyDescent="0.25">
      <c r="A6" s="9"/>
      <c r="E6" s="9"/>
      <c r="H6" s="9"/>
      <c r="L6" s="1"/>
    </row>
    <row r="7" spans="1:12" x14ac:dyDescent="0.25">
      <c r="A7" s="9"/>
      <c r="E7" s="9"/>
      <c r="H7" s="9"/>
      <c r="L7" s="1"/>
    </row>
    <row r="8" spans="1:12" x14ac:dyDescent="0.25">
      <c r="A8" s="9"/>
      <c r="E8" s="9"/>
      <c r="H8" s="9"/>
      <c r="L8" s="1"/>
    </row>
    <row r="9" spans="1:12" x14ac:dyDescent="0.25">
      <c r="A9" s="9"/>
      <c r="E9" s="9"/>
      <c r="H9" s="9"/>
      <c r="L9" s="1"/>
    </row>
  </sheetData>
  <hyperlinks>
    <hyperlink ref="L2" r:id="rId1" xr:uid="{708F958F-53F4-4DEC-BE3F-33F36062ADD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2D31-C637-4166-A38E-6AD890012D6C}">
  <dimension ref="A1:T2"/>
  <sheetViews>
    <sheetView workbookViewId="0">
      <selection activeCell="J18" sqref="J18"/>
    </sheetView>
  </sheetViews>
  <sheetFormatPr defaultRowHeight="15" x14ac:dyDescent="0.25"/>
  <cols>
    <col min="1" max="1" width="25" bestFit="1" customWidth="1"/>
    <col min="2" max="2" width="25.85546875" bestFit="1" customWidth="1"/>
    <col min="3" max="3" width="16.42578125" bestFit="1" customWidth="1"/>
    <col min="4" max="4" width="12.42578125" bestFit="1" customWidth="1"/>
    <col min="5" max="5" width="16.7109375" bestFit="1" customWidth="1"/>
    <col min="6" max="6" width="24.5703125" bestFit="1" customWidth="1"/>
    <col min="7" max="7" width="14.7109375" bestFit="1" customWidth="1"/>
    <col min="8" max="8" width="19" bestFit="1" customWidth="1"/>
    <col min="9" max="9" width="17.7109375" bestFit="1" customWidth="1"/>
    <col min="10" max="10" width="28.28515625" bestFit="1" customWidth="1"/>
    <col min="11" max="11" width="15.85546875" bestFit="1" customWidth="1"/>
    <col min="12" max="12" width="17.5703125" bestFit="1" customWidth="1"/>
    <col min="13" max="13" width="13.42578125" bestFit="1" customWidth="1"/>
    <col min="14" max="14" width="18.42578125" bestFit="1" customWidth="1"/>
    <col min="15" max="15" width="11.42578125" bestFit="1" customWidth="1"/>
    <col min="16" max="16" width="33" bestFit="1" customWidth="1"/>
    <col min="17" max="17" width="27.140625" bestFit="1" customWidth="1"/>
    <col min="18" max="18" width="10.5703125" bestFit="1" customWidth="1"/>
    <col min="19" max="19" width="21.42578125" bestFit="1" customWidth="1"/>
    <col min="20" max="20" width="18.42578125" bestFit="1" customWidth="1"/>
  </cols>
  <sheetData>
    <row r="1" spans="1:20" x14ac:dyDescent="0.25">
      <c r="A1" t="s">
        <v>154</v>
      </c>
      <c r="B1" t="s">
        <v>155</v>
      </c>
      <c r="C1" t="s">
        <v>156</v>
      </c>
      <c r="D1" t="s">
        <v>157</v>
      </c>
      <c r="E1" s="3" t="s">
        <v>158</v>
      </c>
      <c r="F1" t="s">
        <v>159</v>
      </c>
      <c r="G1" s="3" t="s">
        <v>160</v>
      </c>
      <c r="H1" s="3" t="s">
        <v>161</v>
      </c>
      <c r="I1" t="s">
        <v>162</v>
      </c>
      <c r="J1" t="s">
        <v>163</v>
      </c>
      <c r="K1" s="12" t="s">
        <v>164</v>
      </c>
      <c r="L1" s="12" t="s">
        <v>247</v>
      </c>
      <c r="M1" s="3" t="s">
        <v>165</v>
      </c>
      <c r="N1" t="s">
        <v>166</v>
      </c>
      <c r="O1" s="3" t="s">
        <v>167</v>
      </c>
      <c r="P1" t="s">
        <v>249</v>
      </c>
      <c r="Q1" t="s">
        <v>168</v>
      </c>
      <c r="R1" s="3" t="s">
        <v>169</v>
      </c>
      <c r="S1" t="s">
        <v>170</v>
      </c>
      <c r="T1" t="s">
        <v>171</v>
      </c>
    </row>
    <row r="2" spans="1:20" ht="15" customHeight="1" x14ac:dyDescent="0.25">
      <c r="A2" s="13" t="s">
        <v>172</v>
      </c>
      <c r="B2" s="13" t="s">
        <v>173</v>
      </c>
      <c r="C2" s="13" t="s">
        <v>172</v>
      </c>
      <c r="D2" s="14" t="s">
        <v>250</v>
      </c>
      <c r="E2" s="16" t="s">
        <v>213</v>
      </c>
      <c r="F2" s="6" t="s">
        <v>174</v>
      </c>
      <c r="G2" t="s">
        <v>214</v>
      </c>
      <c r="I2" s="6" t="s">
        <v>175</v>
      </c>
      <c r="J2" s="6" t="s">
        <v>176</v>
      </c>
      <c r="K2" s="6" t="s">
        <v>246</v>
      </c>
      <c r="L2" s="6" t="s">
        <v>248</v>
      </c>
      <c r="N2" s="6" t="s">
        <v>177</v>
      </c>
      <c r="P2" s="6" t="s">
        <v>178</v>
      </c>
      <c r="Q2" s="6" t="s">
        <v>251</v>
      </c>
      <c r="S2" s="6" t="s">
        <v>179</v>
      </c>
      <c r="T2" s="15" t="s">
        <v>252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C31A-8620-4C90-BC60-52F328107A84}">
  <dimension ref="A1:I2"/>
  <sheetViews>
    <sheetView workbookViewId="0">
      <selection activeCell="C11" sqref="C11"/>
    </sheetView>
  </sheetViews>
  <sheetFormatPr defaultRowHeight="15" x14ac:dyDescent="0.25"/>
  <cols>
    <col min="1" max="1" width="20.5703125" bestFit="1" customWidth="1"/>
    <col min="2" max="2" width="37.42578125" bestFit="1" customWidth="1"/>
    <col min="3" max="3" width="22" bestFit="1" customWidth="1"/>
    <col min="4" max="4" width="11.5703125" bestFit="1" customWidth="1"/>
    <col min="5" max="5" width="11" bestFit="1" customWidth="1"/>
    <col min="6" max="6" width="8.5703125" bestFit="1" customWidth="1"/>
    <col min="7" max="7" width="13.5703125" bestFit="1" customWidth="1"/>
    <col min="8" max="8" width="12.5703125" bestFit="1" customWidth="1"/>
    <col min="9" max="9" width="15.5703125" bestFit="1" customWidth="1"/>
  </cols>
  <sheetData>
    <row r="1" spans="1:9" x14ac:dyDescent="0.25">
      <c r="A1" t="s">
        <v>180</v>
      </c>
      <c r="B1" t="s">
        <v>181</v>
      </c>
      <c r="C1" t="s">
        <v>16</v>
      </c>
      <c r="D1" t="s">
        <v>69</v>
      </c>
      <c r="E1" t="s">
        <v>15</v>
      </c>
      <c r="F1" t="s">
        <v>72</v>
      </c>
      <c r="G1" t="s">
        <v>4</v>
      </c>
      <c r="H1" t="s">
        <v>5</v>
      </c>
      <c r="I1" t="s">
        <v>73</v>
      </c>
    </row>
    <row r="2" spans="1:9" ht="16.5" customHeight="1" x14ac:dyDescent="0.25">
      <c r="A2" t="s">
        <v>182</v>
      </c>
      <c r="B2" t="s">
        <v>136</v>
      </c>
      <c r="C2" s="1" t="s">
        <v>183</v>
      </c>
      <c r="D2">
        <v>9800652518</v>
      </c>
      <c r="E2">
        <v>9854148754</v>
      </c>
      <c r="F2" t="s">
        <v>130</v>
      </c>
      <c r="G2" t="s">
        <v>184</v>
      </c>
      <c r="H2" t="s">
        <v>185</v>
      </c>
      <c r="I2" s="6" t="s">
        <v>133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20A4-B1E8-47F6-AB78-A4E4681EE13C}">
  <dimension ref="A1:I2"/>
  <sheetViews>
    <sheetView workbookViewId="0">
      <selection activeCell="D7" sqref="D7"/>
    </sheetView>
  </sheetViews>
  <sheetFormatPr defaultRowHeight="15" x14ac:dyDescent="0.25"/>
  <cols>
    <col min="1" max="1" width="19.5703125" bestFit="1" customWidth="1"/>
    <col min="2" max="2" width="19" bestFit="1" customWidth="1"/>
    <col min="3" max="7" width="13.42578125" bestFit="1" customWidth="1"/>
    <col min="8" max="8" width="11" bestFit="1" customWidth="1"/>
    <col min="9" max="9" width="11.5703125" bestFit="1" customWidth="1"/>
  </cols>
  <sheetData>
    <row r="1" spans="1:9" x14ac:dyDescent="0.25">
      <c r="A1" t="s">
        <v>71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69</v>
      </c>
    </row>
    <row r="2" spans="1:9" ht="18" customHeight="1" x14ac:dyDescent="0.25">
      <c r="A2" s="6" t="s">
        <v>186</v>
      </c>
      <c r="B2" s="6" t="s">
        <v>187</v>
      </c>
      <c r="C2" s="6" t="s">
        <v>18</v>
      </c>
      <c r="D2" t="s">
        <v>188</v>
      </c>
      <c r="E2" t="s">
        <v>30</v>
      </c>
      <c r="F2" s="6" t="s">
        <v>189</v>
      </c>
      <c r="G2" s="6" t="s">
        <v>30</v>
      </c>
      <c r="H2" s="6">
        <v>9762713710</v>
      </c>
      <c r="I2" s="6">
        <v>9890098920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993C-BEC1-4EED-970C-E88B561CBB99}">
  <dimension ref="A1:AV2"/>
  <sheetViews>
    <sheetView workbookViewId="0">
      <selection activeCell="I13" sqref="I13"/>
    </sheetView>
  </sheetViews>
  <sheetFormatPr defaultRowHeight="15" x14ac:dyDescent="0.25"/>
  <cols>
    <col min="1" max="1" width="19.5703125" bestFit="1" customWidth="1"/>
    <col min="2" max="2" width="15.5703125" bestFit="1" customWidth="1"/>
    <col min="3" max="3" width="11.5703125" bestFit="1" customWidth="1"/>
    <col min="4" max="4" width="13.42578125" bestFit="1" customWidth="1"/>
    <col min="5" max="5" width="8.5703125" bestFit="1" customWidth="1"/>
    <col min="6" max="6" width="13.5703125" bestFit="1" customWidth="1"/>
    <col min="7" max="7" width="12.5703125" bestFit="1" customWidth="1"/>
    <col min="8" max="8" width="7.5703125" bestFit="1" customWidth="1"/>
    <col min="9" max="9" width="10.5703125" bestFit="1" customWidth="1"/>
    <col min="10" max="11" width="17.5703125" bestFit="1" customWidth="1"/>
    <col min="12" max="12" width="14.5703125" bestFit="1" customWidth="1"/>
    <col min="13" max="13" width="9.5703125" bestFit="1" customWidth="1"/>
    <col min="14" max="14" width="8.5703125" bestFit="1" customWidth="1"/>
    <col min="15" max="15" width="10.42578125" bestFit="1" customWidth="1"/>
    <col min="16" max="16" width="17.5703125" bestFit="1" customWidth="1"/>
    <col min="17" max="17" width="18" bestFit="1" customWidth="1"/>
    <col min="18" max="18" width="16.42578125" bestFit="1" customWidth="1"/>
    <col min="19" max="19" width="11.5703125" bestFit="1" customWidth="1"/>
    <col min="20" max="20" width="21.5703125" bestFit="1" customWidth="1"/>
    <col min="21" max="21" width="16.42578125" bestFit="1" customWidth="1"/>
    <col min="22" max="22" width="27.42578125" bestFit="1" customWidth="1"/>
    <col min="23" max="23" width="23" bestFit="1" customWidth="1"/>
    <col min="24" max="24" width="26.42578125" bestFit="1" customWidth="1"/>
    <col min="25" max="25" width="22.42578125" bestFit="1" customWidth="1"/>
    <col min="26" max="26" width="12.5703125" bestFit="1" customWidth="1"/>
    <col min="27" max="27" width="13.42578125" bestFit="1" customWidth="1"/>
    <col min="28" max="28" width="22.5703125" bestFit="1" customWidth="1"/>
    <col min="29" max="29" width="25.42578125" bestFit="1" customWidth="1"/>
    <col min="30" max="30" width="22.42578125" bestFit="1" customWidth="1"/>
    <col min="31" max="31" width="7.5703125" bestFit="1" customWidth="1"/>
    <col min="32" max="32" width="15.42578125" bestFit="1" customWidth="1"/>
    <col min="33" max="33" width="8.5703125" bestFit="1" customWidth="1"/>
    <col min="34" max="34" width="17.42578125" bestFit="1" customWidth="1"/>
    <col min="35" max="35" width="20" bestFit="1" customWidth="1"/>
    <col min="36" max="36" width="19.42578125" bestFit="1" customWidth="1"/>
    <col min="37" max="37" width="12.42578125" bestFit="1" customWidth="1"/>
    <col min="38" max="38" width="31" bestFit="1" customWidth="1"/>
    <col min="39" max="39" width="14.5703125" bestFit="1" customWidth="1"/>
    <col min="40" max="40" width="12.5703125" bestFit="1" customWidth="1"/>
    <col min="41" max="41" width="16.42578125" bestFit="1" customWidth="1"/>
    <col min="42" max="42" width="12.42578125" bestFit="1" customWidth="1"/>
    <col min="43" max="43" width="19.42578125" bestFit="1" customWidth="1"/>
    <col min="44" max="44" width="17.5703125" bestFit="1" customWidth="1"/>
    <col min="45" max="45" width="16.5703125" bestFit="1" customWidth="1"/>
    <col min="46" max="46" width="32.5703125" bestFit="1" customWidth="1"/>
    <col min="47" max="47" width="30.42578125" bestFit="1" customWidth="1"/>
    <col min="48" max="48" width="18.42578125" bestFit="1" customWidth="1"/>
  </cols>
  <sheetData>
    <row r="1" spans="1:48" s="2" customFormat="1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126</v>
      </c>
      <c r="W1" t="s">
        <v>38</v>
      </c>
      <c r="X1" t="s">
        <v>127</v>
      </c>
      <c r="Y1" t="s">
        <v>39</v>
      </c>
      <c r="Z1" t="s">
        <v>37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40</v>
      </c>
      <c r="AJ1" t="s">
        <v>44</v>
      </c>
      <c r="AK1" t="s">
        <v>61</v>
      </c>
      <c r="AL1" t="s">
        <v>62</v>
      </c>
      <c r="AM1" t="s">
        <v>45</v>
      </c>
      <c r="AN1" t="s">
        <v>63</v>
      </c>
      <c r="AO1" t="s">
        <v>129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41</v>
      </c>
      <c r="AV1" t="s">
        <v>42</v>
      </c>
    </row>
    <row r="2" spans="1:48" s="2" customFormat="1" ht="45" x14ac:dyDescent="0.25">
      <c r="B2" s="11" t="s">
        <v>256</v>
      </c>
      <c r="C2" s="2" t="s">
        <v>224</v>
      </c>
      <c r="D2" s="2" t="s">
        <v>255</v>
      </c>
      <c r="E2" s="6" t="s">
        <v>110</v>
      </c>
      <c r="F2" s="11" t="s">
        <v>257</v>
      </c>
      <c r="G2" s="6" t="s">
        <v>107</v>
      </c>
      <c r="H2" s="6" t="s">
        <v>111</v>
      </c>
      <c r="I2" s="7" t="s">
        <v>244</v>
      </c>
      <c r="J2" s="2" t="s">
        <v>112</v>
      </c>
      <c r="K2" s="2" t="s">
        <v>113</v>
      </c>
      <c r="L2" s="2" t="s">
        <v>114</v>
      </c>
      <c r="M2" s="6" t="s">
        <v>117</v>
      </c>
      <c r="N2" s="2" t="s">
        <v>115</v>
      </c>
      <c r="P2" s="6" t="s">
        <v>18</v>
      </c>
      <c r="R2" s="2" t="s">
        <v>116</v>
      </c>
      <c r="S2" s="6" t="s">
        <v>118</v>
      </c>
      <c r="U2" s="6" t="s">
        <v>119</v>
      </c>
      <c r="V2" s="6" t="s">
        <v>128</v>
      </c>
      <c r="W2" s="2">
        <v>0</v>
      </c>
      <c r="X2" s="6" t="s">
        <v>128</v>
      </c>
      <c r="Y2" s="2">
        <v>0</v>
      </c>
      <c r="Z2" s="6" t="s">
        <v>120</v>
      </c>
      <c r="AB2" s="8" t="s">
        <v>121</v>
      </c>
      <c r="AI2" s="6" t="s">
        <v>30</v>
      </c>
      <c r="AJ2" s="6" t="s">
        <v>111</v>
      </c>
      <c r="AM2" s="6" t="s">
        <v>113</v>
      </c>
      <c r="AO2" t="s">
        <v>128</v>
      </c>
      <c r="AQ2" s="6" t="s">
        <v>122</v>
      </c>
      <c r="AR2" s="2" t="s">
        <v>18</v>
      </c>
      <c r="AU2" s="6" t="s">
        <v>123</v>
      </c>
      <c r="AV2" s="6" t="s">
        <v>124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9C16E-4CB9-459A-A842-7838E1E00E37}">
  <dimension ref="A1:F2"/>
  <sheetViews>
    <sheetView workbookViewId="0">
      <selection activeCell="H22" sqref="H22"/>
    </sheetView>
  </sheetViews>
  <sheetFormatPr defaultRowHeight="15" x14ac:dyDescent="0.25"/>
  <cols>
    <col min="1" max="1" width="14.5703125" customWidth="1"/>
    <col min="3" max="5" width="13.42578125" bestFit="1" customWidth="1"/>
  </cols>
  <sheetData>
    <row r="1" spans="1: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5">
      <c r="A2" t="s">
        <v>225</v>
      </c>
      <c r="B2" t="s">
        <v>18</v>
      </c>
      <c r="C2" t="s">
        <v>226</v>
      </c>
      <c r="D2" t="s">
        <v>122</v>
      </c>
      <c r="E2" s="9" t="s">
        <v>227</v>
      </c>
      <c r="F2" t="s">
        <v>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41BE-229A-4486-A0E4-B7268330F3E6}">
  <dimension ref="A1:AT2"/>
  <sheetViews>
    <sheetView workbookViewId="0">
      <selection activeCell="K13" sqref="K13"/>
    </sheetView>
  </sheetViews>
  <sheetFormatPr defaultRowHeight="15" x14ac:dyDescent="0.25"/>
  <cols>
    <col min="1" max="1" width="19.5703125" bestFit="1" customWidth="1"/>
    <col min="2" max="2" width="15.5703125" bestFit="1" customWidth="1"/>
  </cols>
  <sheetData>
    <row r="1" spans="1:46" s="2" customFormat="1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38</v>
      </c>
      <c r="W1" t="s">
        <v>39</v>
      </c>
      <c r="X1" t="s">
        <v>37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40</v>
      </c>
      <c r="AH1" t="s">
        <v>44</v>
      </c>
      <c r="AI1" t="s">
        <v>61</v>
      </c>
      <c r="AJ1" t="s">
        <v>62</v>
      </c>
      <c r="AK1" t="s">
        <v>45</v>
      </c>
      <c r="AL1" t="s">
        <v>63</v>
      </c>
      <c r="AM1" t="s">
        <v>129</v>
      </c>
      <c r="AN1" t="s">
        <v>64</v>
      </c>
      <c r="AO1" t="s">
        <v>65</v>
      </c>
      <c r="AP1" t="s">
        <v>66</v>
      </c>
      <c r="AQ1" t="s">
        <v>67</v>
      </c>
      <c r="AR1" t="s">
        <v>68</v>
      </c>
      <c r="AS1" t="s">
        <v>41</v>
      </c>
      <c r="AT1" t="s">
        <v>42</v>
      </c>
    </row>
    <row r="2" spans="1:46" ht="45" x14ac:dyDescent="0.25">
      <c r="B2" s="6" t="str">
        <f>SPaddPatient!B2</f>
        <v>hospRef1001</v>
      </c>
      <c r="E2" s="6" t="s">
        <v>110</v>
      </c>
      <c r="F2" s="6" t="str">
        <f>SPaddPatient!F2</f>
        <v>Sakal</v>
      </c>
      <c r="G2" s="6" t="str">
        <f>SPaddPatient!G2</f>
        <v>Riomed</v>
      </c>
      <c r="H2" s="6" t="str">
        <f>addPatient!H2</f>
        <v>Male</v>
      </c>
      <c r="I2" s="7" t="str">
        <f>SPaddPatient!I2</f>
        <v>22/09/2023</v>
      </c>
      <c r="J2" s="2" t="s">
        <v>112</v>
      </c>
      <c r="K2" s="2" t="s">
        <v>113</v>
      </c>
      <c r="L2" s="2" t="s">
        <v>114</v>
      </c>
      <c r="M2" s="6" t="s">
        <v>117</v>
      </c>
      <c r="N2" s="2" t="s">
        <v>115</v>
      </c>
      <c r="P2" s="6" t="s">
        <v>18</v>
      </c>
      <c r="R2" s="2" t="s">
        <v>116</v>
      </c>
      <c r="S2" s="6" t="s">
        <v>118</v>
      </c>
      <c r="U2" s="6" t="s">
        <v>119</v>
      </c>
      <c r="V2">
        <v>0</v>
      </c>
      <c r="W2">
        <v>0</v>
      </c>
      <c r="X2" s="6" t="s">
        <v>120</v>
      </c>
      <c r="Z2" s="8" t="s">
        <v>121</v>
      </c>
      <c r="AG2" s="6" t="s">
        <v>30</v>
      </c>
      <c r="AH2" s="6" t="s">
        <v>111</v>
      </c>
      <c r="AK2" s="6" t="s">
        <v>113</v>
      </c>
      <c r="AM2" t="s">
        <v>128</v>
      </c>
      <c r="AN2">
        <v>0</v>
      </c>
      <c r="AO2" s="6" t="s">
        <v>122</v>
      </c>
      <c r="AP2" s="2" t="s">
        <v>18</v>
      </c>
      <c r="AS2" s="6" t="s">
        <v>123</v>
      </c>
      <c r="AT2" s="6" t="s">
        <v>124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FEA3-A953-48D6-ADDD-B3DD146857BD}">
  <dimension ref="A1:J2"/>
  <sheetViews>
    <sheetView workbookViewId="0">
      <selection activeCell="F12" sqref="F12"/>
    </sheetView>
  </sheetViews>
  <sheetFormatPr defaultRowHeight="15" x14ac:dyDescent="0.25"/>
  <cols>
    <col min="1" max="1" width="13.5703125" bestFit="1" customWidth="1"/>
    <col min="2" max="2" width="13.42578125" bestFit="1" customWidth="1"/>
    <col min="3" max="3" width="7.5703125" bestFit="1" customWidth="1"/>
    <col min="4" max="4" width="10.5703125" bestFit="1" customWidth="1"/>
    <col min="5" max="5" width="14.5703125" customWidth="1"/>
    <col min="6" max="6" width="12.5703125" customWidth="1"/>
    <col min="7" max="7" width="11.5703125" bestFit="1" customWidth="1"/>
    <col min="8" max="8" width="8.5703125" bestFit="1" customWidth="1"/>
    <col min="9" max="9" width="16.42578125" bestFit="1" customWidth="1"/>
    <col min="10" max="10" width="27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34</v>
      </c>
      <c r="G1" s="2" t="s">
        <v>33</v>
      </c>
      <c r="H1" s="2" t="s">
        <v>32</v>
      </c>
      <c r="I1" s="2" t="s">
        <v>8</v>
      </c>
      <c r="J1" t="s">
        <v>16</v>
      </c>
    </row>
    <row r="2" spans="1:10" x14ac:dyDescent="0.25">
      <c r="A2" s="6" t="str">
        <f>SPaddPatient!F2</f>
        <v>Sakal</v>
      </c>
      <c r="B2" s="6" t="str">
        <f>SPaddPatient!G2</f>
        <v>Riomed</v>
      </c>
      <c r="C2" s="6" t="str">
        <f>addPatient!H2</f>
        <v>Male</v>
      </c>
      <c r="D2" s="7" t="str">
        <f>SPaddPatient!I2</f>
        <v>22/09/2023</v>
      </c>
      <c r="E2" s="6">
        <v>7794778477</v>
      </c>
      <c r="F2" s="6" t="s">
        <v>190</v>
      </c>
      <c r="G2" s="6" t="s">
        <v>30</v>
      </c>
      <c r="H2" s="6" t="s">
        <v>110</v>
      </c>
      <c r="I2" s="6" t="str">
        <f>SPaddPatient!U2</f>
        <v>Martin</v>
      </c>
      <c r="J2" t="str">
        <f>CONCATENATE(A2,".",B2,"@Gmail.com")</f>
        <v>Sakal.Riomed@Gmail.com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209E8-73AC-4077-9E37-04846E020663}">
  <dimension ref="A1:P2"/>
  <sheetViews>
    <sheetView workbookViewId="0">
      <selection activeCell="E7" sqref="E7"/>
    </sheetView>
  </sheetViews>
  <sheetFormatPr defaultRowHeight="15" x14ac:dyDescent="0.25"/>
  <cols>
    <col min="1" max="6" width="13.42578125" bestFit="1" customWidth="1"/>
    <col min="7" max="7" width="11" bestFit="1" customWidth="1"/>
    <col min="8" max="8" width="11.5703125" bestFit="1" customWidth="1"/>
    <col min="9" max="9" width="29.42578125" bestFit="1" customWidth="1"/>
    <col min="10" max="10" width="8" bestFit="1" customWidth="1"/>
    <col min="11" max="11" width="16.5703125" bestFit="1" customWidth="1"/>
    <col min="12" max="12" width="23" bestFit="1" customWidth="1"/>
    <col min="13" max="13" width="19.5703125" bestFit="1" customWidth="1"/>
    <col min="14" max="14" width="21.42578125" bestFit="1" customWidth="1"/>
    <col min="15" max="15" width="22.42578125" bestFit="1" customWidth="1"/>
    <col min="16" max="16" width="10.42578125" bestFit="1" customWidth="1"/>
  </cols>
  <sheetData>
    <row r="1" spans="1:1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70</v>
      </c>
      <c r="M1" t="s">
        <v>71</v>
      </c>
      <c r="N1" t="s">
        <v>27</v>
      </c>
      <c r="O1" t="s">
        <v>28</v>
      </c>
      <c r="P1" t="s">
        <v>19</v>
      </c>
    </row>
    <row r="2" spans="1:16" x14ac:dyDescent="0.25">
      <c r="A2" t="s">
        <v>191</v>
      </c>
      <c r="B2" t="s">
        <v>144</v>
      </c>
      <c r="C2" t="s">
        <v>193</v>
      </c>
      <c r="D2" t="s">
        <v>122</v>
      </c>
      <c r="E2" t="s">
        <v>192</v>
      </c>
      <c r="F2" t="s">
        <v>30</v>
      </c>
      <c r="G2" s="3">
        <v>2026996541</v>
      </c>
      <c r="H2">
        <v>9422101112</v>
      </c>
      <c r="I2" s="4" t="str">
        <f>CONCATENATE(B2,".",C2,"@gmail.com")</f>
        <v>Mumbai.ForestCounty@gmail.com</v>
      </c>
      <c r="J2" s="3">
        <v>112233</v>
      </c>
      <c r="K2" s="3">
        <v>2026981025</v>
      </c>
      <c r="L2" s="5">
        <v>411004</v>
      </c>
      <c r="M2" t="s">
        <v>107</v>
      </c>
      <c r="N2" s="5">
        <v>91</v>
      </c>
      <c r="O2" s="3">
        <v>542152</v>
      </c>
      <c r="P2" t="s">
        <v>108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FF8DA-0CD0-4402-8F90-F1E813EC7639}">
  <dimension ref="A1:Q2"/>
  <sheetViews>
    <sheetView workbookViewId="0">
      <selection activeCell="G16" sqref="G16"/>
    </sheetView>
  </sheetViews>
  <sheetFormatPr defaultRowHeight="15" x14ac:dyDescent="0.25"/>
  <cols>
    <col min="1" max="6" width="13.42578125" bestFit="1" customWidth="1"/>
    <col min="7" max="7" width="11" bestFit="1" customWidth="1"/>
    <col min="8" max="8" width="11.5703125" bestFit="1" customWidth="1"/>
    <col min="9" max="9" width="29.42578125" bestFit="1" customWidth="1"/>
    <col min="10" max="10" width="11" bestFit="1" customWidth="1"/>
    <col min="11" max="11" width="16.5703125" bestFit="1" customWidth="1"/>
    <col min="12" max="12" width="23" bestFit="1" customWidth="1"/>
    <col min="13" max="13" width="19.5703125" bestFit="1" customWidth="1"/>
    <col min="14" max="14" width="21.42578125" bestFit="1" customWidth="1"/>
    <col min="15" max="15" width="22.42578125" bestFit="1" customWidth="1"/>
    <col min="16" max="16" width="3" bestFit="1" customWidth="1"/>
    <col min="17" max="17" width="16.5703125" bestFit="1" customWidth="1"/>
  </cols>
  <sheetData>
    <row r="1" spans="1:17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70</v>
      </c>
      <c r="M1" t="s">
        <v>71</v>
      </c>
      <c r="N1" t="s">
        <v>27</v>
      </c>
      <c r="O1" t="s">
        <v>28</v>
      </c>
      <c r="Q1" t="s">
        <v>19</v>
      </c>
    </row>
    <row r="2" spans="1:17" x14ac:dyDescent="0.25">
      <c r="A2" t="str">
        <f>SPpermanentAddress!A2</f>
        <v>Flat no 2505</v>
      </c>
      <c r="B2" t="str">
        <f>SPpermanentAddress!B2</f>
        <v>Mumbai</v>
      </c>
      <c r="C2" t="str">
        <f>SPpermanentAddress!C2</f>
        <v>ForestCounty</v>
      </c>
      <c r="D2" t="str">
        <f>SPpermanentAddress!D2</f>
        <v>Maharashtra</v>
      </c>
      <c r="E2" t="str">
        <f>SPpermanentAddress!E2</f>
        <v>4110 14</v>
      </c>
      <c r="F2" t="str">
        <f>SPpermanentAddress!F2</f>
        <v>India</v>
      </c>
      <c r="G2" s="3">
        <v>7777777700</v>
      </c>
      <c r="H2">
        <v>9762713710</v>
      </c>
      <c r="I2" t="str">
        <f>CONCATENATE(B2,".",C2,"@gmail.com")</f>
        <v>Mumbai.ForestCounty@gmail.com</v>
      </c>
      <c r="J2" s="3">
        <v>8181808080</v>
      </c>
      <c r="K2" s="3">
        <v>666999</v>
      </c>
      <c r="L2" s="3">
        <v>411001</v>
      </c>
      <c r="M2" t="s">
        <v>107</v>
      </c>
      <c r="N2" s="3">
        <v>91</v>
      </c>
      <c r="O2" s="3">
        <v>54215</v>
      </c>
      <c r="P2" s="3">
        <v>91</v>
      </c>
      <c r="Q2" t="s">
        <v>109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C1675-3144-48E1-BA13-E5B1029D6465}">
  <dimension ref="A1:AG2"/>
  <sheetViews>
    <sheetView workbookViewId="0">
      <selection activeCell="D7" sqref="D7"/>
    </sheetView>
  </sheetViews>
  <sheetFormatPr defaultRowHeight="15" x14ac:dyDescent="0.25"/>
  <sheetData>
    <row r="1" spans="1:33" x14ac:dyDescent="0.25">
      <c r="A1" t="s">
        <v>72</v>
      </c>
      <c r="B1" t="s">
        <v>4</v>
      </c>
      <c r="C1" t="s">
        <v>5</v>
      </c>
      <c r="D1" t="s">
        <v>73</v>
      </c>
      <c r="E1" t="s">
        <v>134</v>
      </c>
      <c r="F1" t="s">
        <v>74</v>
      </c>
      <c r="G1" t="s">
        <v>75</v>
      </c>
      <c r="H1" t="s">
        <v>135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139</v>
      </c>
      <c r="T1" t="s">
        <v>86</v>
      </c>
      <c r="U1" t="s">
        <v>87</v>
      </c>
      <c r="V1" t="s">
        <v>141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  <c r="AD1" t="s">
        <v>93</v>
      </c>
      <c r="AF1" t="s">
        <v>94</v>
      </c>
      <c r="AG1" t="s">
        <v>95</v>
      </c>
    </row>
    <row r="2" spans="1:33" x14ac:dyDescent="0.25">
      <c r="A2" t="s">
        <v>130</v>
      </c>
      <c r="B2" t="s">
        <v>131</v>
      </c>
      <c r="C2" t="s">
        <v>132</v>
      </c>
      <c r="D2" t="s">
        <v>133</v>
      </c>
      <c r="E2" t="s">
        <v>128</v>
      </c>
      <c r="F2">
        <v>0</v>
      </c>
      <c r="G2" t="s">
        <v>109</v>
      </c>
      <c r="H2" t="s">
        <v>136</v>
      </c>
      <c r="I2">
        <v>1</v>
      </c>
      <c r="L2" t="s">
        <v>137</v>
      </c>
      <c r="M2" t="s">
        <v>111</v>
      </c>
      <c r="N2" s="9" t="s">
        <v>138</v>
      </c>
      <c r="S2" t="s">
        <v>136</v>
      </c>
      <c r="T2">
        <v>1</v>
      </c>
      <c r="V2" t="s">
        <v>113</v>
      </c>
      <c r="W2">
        <v>6882</v>
      </c>
      <c r="AF2" t="s">
        <v>140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6C6E-BBB1-482D-BAEA-81327AF1E072}">
  <dimension ref="A1:K2"/>
  <sheetViews>
    <sheetView workbookViewId="0">
      <selection activeCell="K2" sqref="K2"/>
    </sheetView>
  </sheetViews>
  <sheetFormatPr defaultRowHeight="15" x14ac:dyDescent="0.25"/>
  <cols>
    <col min="10" max="10" width="12.7109375" customWidth="1"/>
    <col min="11" max="11" width="15.28515625" customWidth="1"/>
  </cols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</row>
    <row r="2" spans="1:11" x14ac:dyDescent="0.25">
      <c r="A2" t="s">
        <v>130</v>
      </c>
      <c r="B2" t="s">
        <v>146</v>
      </c>
      <c r="C2" t="s">
        <v>147</v>
      </c>
      <c r="D2" t="s">
        <v>148</v>
      </c>
      <c r="E2" t="s">
        <v>149</v>
      </c>
      <c r="F2" t="s">
        <v>150</v>
      </c>
      <c r="J2" t="s">
        <v>151</v>
      </c>
      <c r="K2" t="s">
        <v>263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42709-E1AF-458E-84CC-6B34BF027848}">
  <dimension ref="A1:K2"/>
  <sheetViews>
    <sheetView workbookViewId="0">
      <selection activeCell="E23" sqref="E23"/>
    </sheetView>
  </sheetViews>
  <sheetFormatPr defaultRowHeight="15" x14ac:dyDescent="0.25"/>
  <cols>
    <col min="1" max="6" width="13.42578125" bestFit="1" customWidth="1"/>
    <col min="7" max="7" width="11" bestFit="1" customWidth="1"/>
    <col min="8" max="8" width="9" bestFit="1" customWidth="1"/>
    <col min="9" max="9" width="16.5703125" bestFit="1" customWidth="1"/>
    <col min="10" max="10" width="11.5703125" bestFit="1" customWidth="1"/>
    <col min="11" max="11" width="15" bestFit="1" customWidth="1"/>
  </cols>
  <sheetData>
    <row r="1" spans="1:11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17</v>
      </c>
      <c r="I1" t="s">
        <v>29</v>
      </c>
      <c r="J1" t="s">
        <v>69</v>
      </c>
      <c r="K1" t="s">
        <v>16</v>
      </c>
    </row>
    <row r="2" spans="1:11" x14ac:dyDescent="0.25">
      <c r="A2" s="9" t="s">
        <v>194</v>
      </c>
      <c r="B2" t="s">
        <v>152</v>
      </c>
      <c r="C2" t="s">
        <v>18</v>
      </c>
      <c r="D2" t="s">
        <v>122</v>
      </c>
      <c r="E2" s="9" t="s">
        <v>153</v>
      </c>
      <c r="F2" t="s">
        <v>30</v>
      </c>
      <c r="G2" s="9" t="s">
        <v>195</v>
      </c>
      <c r="H2" s="9" t="s">
        <v>197</v>
      </c>
      <c r="I2" s="9" t="s">
        <v>198</v>
      </c>
      <c r="J2" s="9" t="s">
        <v>199</v>
      </c>
      <c r="K2" s="1" t="s">
        <v>196</v>
      </c>
    </row>
  </sheetData>
  <hyperlinks>
    <hyperlink ref="K2" r:id="rId1" xr:uid="{F322F5D6-6585-40CD-9BC1-FC1399162257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1E2D-D144-4C91-84C7-409E62859796}">
  <dimension ref="A1:G2"/>
  <sheetViews>
    <sheetView workbookViewId="0">
      <selection activeCell="E9" sqref="E9"/>
    </sheetView>
  </sheetViews>
  <sheetFormatPr defaultRowHeight="15" x14ac:dyDescent="0.25"/>
  <cols>
    <col min="1" max="1" width="15.5703125" bestFit="1" customWidth="1"/>
    <col min="2" max="2" width="10.5703125" bestFit="1" customWidth="1"/>
    <col min="3" max="3" width="7.5703125" bestFit="1" customWidth="1"/>
    <col min="4" max="4" width="28.5703125" bestFit="1" customWidth="1"/>
    <col min="5" max="5" width="17.42578125" bestFit="1" customWidth="1"/>
    <col min="6" max="6" width="14.42578125" customWidth="1"/>
    <col min="7" max="7" width="11.42578125" customWidth="1"/>
  </cols>
  <sheetData>
    <row r="1" spans="1:7" x14ac:dyDescent="0.25">
      <c r="A1" t="s">
        <v>26</v>
      </c>
      <c r="B1" t="s">
        <v>200</v>
      </c>
      <c r="C1" t="s">
        <v>201</v>
      </c>
      <c r="D1" t="s">
        <v>202</v>
      </c>
      <c r="E1" t="s">
        <v>203</v>
      </c>
      <c r="F1" t="s">
        <v>0</v>
      </c>
      <c r="G1" t="s">
        <v>20</v>
      </c>
    </row>
    <row r="2" spans="1:7" x14ac:dyDescent="0.25">
      <c r="A2" s="3" t="str">
        <f>addPatient!B2</f>
        <v>HospLin16</v>
      </c>
      <c r="B2" s="9" t="s">
        <v>245</v>
      </c>
      <c r="C2" s="9" t="s">
        <v>253</v>
      </c>
      <c r="D2" t="s">
        <v>204</v>
      </c>
      <c r="E2" t="s">
        <v>205</v>
      </c>
      <c r="F2" s="11" t="str">
        <f>addPatient!F2</f>
        <v>LinuxPatAo</v>
      </c>
      <c r="G2" s="11" t="str">
        <f>addPatient!G2</f>
        <v>Riomed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3327-3996-4901-8014-D52E2C3B0192}">
  <dimension ref="A1:C2"/>
  <sheetViews>
    <sheetView workbookViewId="0">
      <selection activeCell="A2" sqref="A2"/>
    </sheetView>
  </sheetViews>
  <sheetFormatPr defaultRowHeight="15" x14ac:dyDescent="0.25"/>
  <cols>
    <col min="1" max="1" width="16.5703125" bestFit="1" customWidth="1"/>
    <col min="2" max="2" width="11.5703125" customWidth="1"/>
  </cols>
  <sheetData>
    <row r="1" spans="1:3" x14ac:dyDescent="0.25">
      <c r="A1" t="s">
        <v>206</v>
      </c>
      <c r="B1" t="s">
        <v>207</v>
      </c>
      <c r="C1" t="s">
        <v>208</v>
      </c>
    </row>
    <row r="2" spans="1:3" x14ac:dyDescent="0.25">
      <c r="A2" t="s">
        <v>209</v>
      </c>
      <c r="B2" t="s">
        <v>236</v>
      </c>
      <c r="C2" t="s">
        <v>210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3AC3-C90B-45D1-8F1F-12412A450A60}">
  <dimension ref="A1:D2"/>
  <sheetViews>
    <sheetView workbookViewId="0">
      <selection activeCell="D5" sqref="D5"/>
    </sheetView>
  </sheetViews>
  <sheetFormatPr defaultRowHeight="22.5" customHeight="1" x14ac:dyDescent="0.25"/>
  <cols>
    <col min="1" max="1" width="22.42578125" customWidth="1"/>
    <col min="2" max="2" width="33" bestFit="1" customWidth="1"/>
    <col min="3" max="3" width="15.5703125" bestFit="1" customWidth="1"/>
    <col min="4" max="4" width="21" bestFit="1" customWidth="1"/>
  </cols>
  <sheetData>
    <row r="1" spans="1:4" ht="22.5" customHeight="1" x14ac:dyDescent="0.25">
      <c r="A1" t="s">
        <v>206</v>
      </c>
      <c r="B1" t="s">
        <v>211</v>
      </c>
      <c r="C1" t="s">
        <v>207</v>
      </c>
      <c r="D1" t="s">
        <v>208</v>
      </c>
    </row>
    <row r="2" spans="1:4" ht="22.5" customHeight="1" x14ac:dyDescent="0.25">
      <c r="A2" s="10" t="s">
        <v>261</v>
      </c>
      <c r="B2" t="s">
        <v>212</v>
      </c>
      <c r="C2" t="s">
        <v>262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D2DE5FA4F58469907EC3226CC7D98" ma:contentTypeVersion="18" ma:contentTypeDescription="Create a new document." ma:contentTypeScope="" ma:versionID="090753d51dfd09a1119d54c5de179dfc">
  <xsd:schema xmlns:xsd="http://www.w3.org/2001/XMLSchema" xmlns:xs="http://www.w3.org/2001/XMLSchema" xmlns:p="http://schemas.microsoft.com/office/2006/metadata/properties" xmlns:ns2="563c2453-77f6-4899-a3ec-7eb6553b4f66" xmlns:ns3="c9416fa7-6169-4354-a691-3cfdebf72cd6" targetNamespace="http://schemas.microsoft.com/office/2006/metadata/properties" ma:root="true" ma:fieldsID="9c8570d9b0f0a7b9a0c34f8b658bbfee" ns2:_="" ns3:_="">
    <xsd:import namespace="563c2453-77f6-4899-a3ec-7eb6553b4f66"/>
    <xsd:import namespace="c9416fa7-6169-4354-a691-3cfdebf72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c2453-77f6-4899-a3ec-7eb6553b4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9abfd3-4bd8-4c33-859e-ae25df38d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16fa7-6169-4354-a691-3cfdebf72c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99cb17-2ff2-452b-bada-4f3ce055b327}" ma:internalName="TaxCatchAll" ma:showField="CatchAllData" ma:web="c9416fa7-6169-4354-a691-3cfdebf72c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3c2453-77f6-4899-a3ec-7eb6553b4f66">
      <Terms xmlns="http://schemas.microsoft.com/office/infopath/2007/PartnerControls"/>
    </lcf76f155ced4ddcb4097134ff3c332f>
    <TaxCatchAll xmlns="c9416fa7-6169-4354-a691-3cfdebf72cd6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2D889495-C587-4272-8666-407A7F3B06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c2453-77f6-4899-a3ec-7eb6553b4f66"/>
    <ds:schemaRef ds:uri="c9416fa7-6169-4354-a691-3cfdebf72c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496481-0E77-49E4-B949-F5D3DC8769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44047B-7EA8-4E49-8533-17AE53B8E338}">
  <ds:schemaRefs>
    <ds:schemaRef ds:uri="http://schemas.microsoft.com/office/2006/metadata/properties"/>
    <ds:schemaRef ds:uri="http://schemas.microsoft.com/office/infopath/2007/PartnerControls"/>
    <ds:schemaRef ds:uri="563c2453-77f6-4899-a3ec-7eb6553b4f66"/>
    <ds:schemaRef ds:uri="c9416fa7-6169-4354-a691-3cfdebf72cd6"/>
  </ds:schemaRefs>
</ds:datastoreItem>
</file>

<file path=customXml/itemProps4.xml><?xml version="1.0" encoding="utf-8"?>
<ds:datastoreItem xmlns:ds="http://schemas.openxmlformats.org/officeDocument/2006/customXml" ds:itemID="{3C13564B-9C2D-4D8E-B296-36EA9E71E8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loginDetails</vt:lpstr>
      <vt:lpstr>addPatient</vt:lpstr>
      <vt:lpstr>editPatient</vt:lpstr>
      <vt:lpstr>patientIdentifier</vt:lpstr>
      <vt:lpstr>tempAddress</vt:lpstr>
      <vt:lpstr>permanentAddress</vt:lpstr>
      <vt:lpstr>pip</vt:lpstr>
      <vt:lpstr>pipAddress</vt:lpstr>
      <vt:lpstr>addGP</vt:lpstr>
      <vt:lpstr>gpAddress</vt:lpstr>
      <vt:lpstr>AddReferral</vt:lpstr>
      <vt:lpstr>ConfirmExistingDetails</vt:lpstr>
      <vt:lpstr>ConfirmExistingDetailsTAdd</vt:lpstr>
      <vt:lpstr>SPaddPatient</vt:lpstr>
      <vt:lpstr>SPAddress</vt:lpstr>
      <vt:lpstr>SPeditPatient</vt:lpstr>
      <vt:lpstr>SPpatientIdentifier</vt:lpstr>
      <vt:lpstr>SPpermanentAddress</vt:lpstr>
      <vt:lpstr>SPtempAddress</vt:lpstr>
      <vt:lpstr>SPpip</vt:lpstr>
      <vt:lpstr>SPaddGP</vt:lpstr>
      <vt:lpstr>SPgpAddress</vt:lpstr>
      <vt:lpstr>patDetails</vt:lpstr>
      <vt:lpstr>patCauseOfDeath</vt:lpstr>
      <vt:lpstr>patOtherCauseOfDeath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Vyavahare</dc:creator>
  <cp:lastModifiedBy>Manoj Vyavahare</cp:lastModifiedBy>
  <dcterms:created xsi:type="dcterms:W3CDTF">2015-06-05T18:17:20Z</dcterms:created>
  <dcterms:modified xsi:type="dcterms:W3CDTF">2025-11-14T01:31:44Z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0x010100957D2DE5FA4F58469907EC3226CC7D98</vt:lpwstr>
  </property>
  <property fmtid="{D5CDD505-2E9C-101B-9397-08002B2CF9AE}" pid="3" name="WorkbookGuid">
    <vt:lpwstr>2d01eb14-0cca-4c90-a1ad-75e8bdf887b7</vt:lpwstr>
  </property>
</Properties>
</file>