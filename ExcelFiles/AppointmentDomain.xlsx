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9DAB6339-E2DA-406A-A1B6-84076E6BC41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<sst xmlns="http://schemas.openxmlformats.org/spreadsheetml/2006/main" count="765" uniqueCount="362">
  <si>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</si>
  <si>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</si>
  <si>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</si>
  <si>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</si>
  <si>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</si>
  <si>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</si>
  <si>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</si>
  <si>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</si>
  <si>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</si>
  <si>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</si>
  <si>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</si>
  <si>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</si>
  <si>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</si>
  <si>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</si>
  <si>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</si>
  <si>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</si>
  <si>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</si>
  <si>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</si>
  <si>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</si>
  <si>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</si>
  <si>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</si>
  <si>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</si>
  <si>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</si>
  <si>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</si>
  <si>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</si>
  <si>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</si>
  <si>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</si>
  <si>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</si>
  <si>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</si>
  <si>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</si>
  <si>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</si>
  <si>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</si>
  <si>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</si>
  <si>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</si>
  <si>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</si>
  <si>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</si>
  <si>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</si>
  <si>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</si>
  <si>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</si>
  <si>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</si>
  <si>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</si>
  <si>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</si>
  <si>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</si>
  <si>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</si>
  <si>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</si>
  <si>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</si>
  <si>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</si>
  <si>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</si>
  <si>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</si>
  <si>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</si>
  <si>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</si>
  <si>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</si>
  <si>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</si>
  <si>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</si>
  <si>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</si>
  <si>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</si>
  <si>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</si>
  <si>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</si>
  <si>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</si>
  <si>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</si>
  <si>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</si>
  <si>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</si>
  <si>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</si>
  <si>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</si>
  <si>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</si>
  <si>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</si>
  <si>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</si>
  <si>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</si>
  <si>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</si>
  <si>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</si>
  <si>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</si>
  <si>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</si>
  <si>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</si>
  <si>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</si>
  <si>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</si>
  <si>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</si>
  <si>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</si>
  <si>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</si>
  <si>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</si>
  <si>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</si>
  <si>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</si>
  <si>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</si>
  <si>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</si>
  <si>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</si>
  <si>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</si>
  <si>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</si>
  <si>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</si>
  <si>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</si>
  <si>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</si>
  <si>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</si>
  <si>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</si>
  <si>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</si>
  <si>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</si>
  <si>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</si>
  <si>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</si>
  <si>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</si>
  <si>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</si>
  <si>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</si>
  <si>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</si>
  <si>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</si>
  <si>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</si>
  <si>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</si>
  <si>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</si>
  <si>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</si>
  <si>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</si>
  <si>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</si>
  <si>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</si>
  <si>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</si>
  <si>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</si>
  <si>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</si>
  <si>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</si>
  <si>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</si>
  <si>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</si>
  <si>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</si>
  <si>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</si>
  <si>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</si>
  <si>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</si>
  <si>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</si>
  <si>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</si>
  <si>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</si>
  <si>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</si>
  <si>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</si>
  <si>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</si>
  <si>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</si>
  <si>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</si>
  <si>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</si>
  <si>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</si>
  <si>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</si>
  <si>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</si>
  <si>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</si>
  <si>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</si>
  <si>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</si>
  <si>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</si>
  <si>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</si>
  <si>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</si>
  <si>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</si>
  <si>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</si>
  <si>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</si>
  <si>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</si>
  <si>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</si>
  <si>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</si>
  <si>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</si>
  <si>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</si>
  <si>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</si>
  <si>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</si>
  <si>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</si>
  <si>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</si>
  <si>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</si>
  <si>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</si>
  <si>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</si>
  <si>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</si>
  <si>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</si>
  <si>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</si>
  <si>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</si>
  <si>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</si>
  <si>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</si>
  <si>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</si>
  <si>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</si>
  <si>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</si>
  <si>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</si>
  <si>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</si>
  <si>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</si>
  <si>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</si>
  <si>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</si>
  <si>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</si>
  <si>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</si>
  <si>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</si>
  <si>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</si>
  <si>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</si>
  <si>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</si>
  <si>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</si>
  <si>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</si>
  <si>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</si>
  <si>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</si>
  <si>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</si>
  <si>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</si>
  <si>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</si>
  <si>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</si>
  <si>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</si>
  <si>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</si>
  <si>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</si>
  <si>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</si>
  <si>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</si>
  <si>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</si>
  <si>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</si>
  <si>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</si>
  <si>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</si>
  <si>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</si>
  <si>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</si>
  <si>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</si>
  <si>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</si>
  <si>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</si>
  <si>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</si>
  <si>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</si>
  <si>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</si>
  <si>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</si>
  <si>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</si>
  <si>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</si>
  <si>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</si>
  <si>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</si>
  <si>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</si>
  <si>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</si>
  <si>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</si>
  <si>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</si>
  <si>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</si>
  <si>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</si>
  <si>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</si>
  <si>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</si>
  <si>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</si>
  <si>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</si>
  <si>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</si>
  <si>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</si>
  <si>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</si>
  <si>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</si>
  <si>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</si>
  <si>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</si>
  <si>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</si>
  <si>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</si>
  <si>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</si>
  <si>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</si>
  <si>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</si>
  <si>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</si>
  <si>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</si>
  <si>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</si>
  <si>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</si>
  <si>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</si>
  <si>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</si>
  <si>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</si>
  <si>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</si>
  <si>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</si>
  <si>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</si>
  <si>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</si>
  <si>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</si>
  <si>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</si>
  <si>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</si>
  <si>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</si>
  <si>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</si>
  <si>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</si>
  <si>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</si>
  <si>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</si>
  <si>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</si>
  <si>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</si>
  <si>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</si>
  <si>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</si>
  <si>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</si>
  <si>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</si>
  <si>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</si>
  <si>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</si>
  <si>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</si>
  <si>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</si>
  <si>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</si>
  <si>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</si>
  <si>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</si>
  <si>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</si>
  <si>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</si>
  <si>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</si>
  <si>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</si>
  <si>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</si>
  <si>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</si>
  <si>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</si>
  <si>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</si>
  <si>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</si>
  <si>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</si>
  <si>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</si>
  <si>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</si>
  <si>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</si>
  <si>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</si>
  <si>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</si>
  <si>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</si>
  <si>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</si>
  <si>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</si>
  <si>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</si>
  <si>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</si>
  <si>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</si>
  <si>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</si>
  <si>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</si>
  <si>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</si>
  <si>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</si>
  <si>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</si>
  <si>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</si>
  <si>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</si>
  <si>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</si>
  <si>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</si>
  <si>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</si>
  <si>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</si>
  <si>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</si>
  <si>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</si>
  <si>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</si>
  <si>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</si>
  <si>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</si>
  <si>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</si>
  <si>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</si>
  <si>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</si>
  <si>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</si>
  <si>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</si>
  <si>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</si>
  <si>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</si>
  <si>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</si>
  <si>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</si>
  <si>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</si>
  <si>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</si>
  <si>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</si>
  <si>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</si>
  <si>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</si>
  <si>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</si>
  <si>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</si>
  <si>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</si>
  <si>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</si>
  <si>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</si>
  <si>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</si>
  <si>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</si>
  <si>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</si>
  <si>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</si>
  <si>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</si>
  <si>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</si>
  <si>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</si>
  <si>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</si>
  <si>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</si>
  <si>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</si>
  <si>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</si>
  <si>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</si>
  <si>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</si>
  <si>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</si>
  <si>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</si>
  <si>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</si>
  <si>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</si>
  <si>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</si>
  <si>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</si>
  <si>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</si>
  <si>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</si>
  <si>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</si>
  <si>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</si>
  <si>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</si>
  <si>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</si>
  <si>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</si>
  <si>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</si>
  <si>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</si>
  <si>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</si>
  <si>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</si>
  <si>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</si>
  <si>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</si>
  <si>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</si>
  <si>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</si>
  <si>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</si>
  <si>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</si>
  <si>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</si>
  <si>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</si>
  <si>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</si>
  <si>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</si>
  <si>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</si>
  <si>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</si>
  <si>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</si>
  <si>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</si>
  <si>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</si>
  <si>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03:30 PM</t>
  </si>
  <si>
    <t>04:30 PM</t>
  </si>
  <si>
    <t>11:15 AM</t>
  </si>
  <si>
    <t>12:30 AM</t>
  </si>
  <si>
    <t>08:00 AM</t>
  </si>
  <si>
    <t>Manoj@2025</t>
  </si>
  <si>
    <t>HospLin079</t>
  </si>
  <si>
    <t>AppLinuxBF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</si>
</sst>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333</v>
      </c>
    </row>
    <row r="3" spans="1:2" x14ac:dyDescent="0.25">
      <c r="A3" s="6" t="s">
        <v>203</v>
      </c>
      <c r="B3" s="1" t="s">
        <v>359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360</v>
      </c>
      <c r="E2" s="6" t="s">
        <v>108</v>
      </c>
      <c r="F2" s="23" t="s">
        <v>361</v>
      </c>
      <c r="G2" s="6" t="s">
        <v>353</v>
      </c>
      <c r="H2" s="6" t="s">
        <v>174</v>
      </c>
      <c r="I2" s="7" t="s">
        <v>334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AppLinuxBF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AppLinuxBF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AppLinuxBF_Marathi@Gmail.com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319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19/11/2025</v>
      </c>
      <c r="B2" t="str">
        <f ca="1">TEXT(TODAY(),"dd/mm/yyyy")</f>
        <v>19/11/2025</v>
      </c>
      <c r="C2" t="str">
        <f>TEXT(E2, "hh:mm:ss")</f>
        <v>11:15:00</v>
      </c>
      <c r="D2" s="21" t="s">
        <v>347</v>
      </c>
      <c r="E2" s="22" t="s">
        <v>356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11:30:00</v>
      </c>
      <c r="U2" t="s">
        <v>227</v>
      </c>
      <c r="V2" t="s">
        <v>335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19/11/2025</v>
      </c>
      <c r="B2" s="16" t="str">
        <f>TEXT(C2, "hh:mm:ss")</f>
        <v>08:00:00</v>
      </c>
      <c r="C2" s="22" t="s">
        <v>358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08:15:00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19/11/2025</v>
      </c>
      <c r="B2" s="16" t="str">
        <f>TEXT(C2, "hh:mm:ss")</f>
        <v>00:30:00</v>
      </c>
      <c r="C2" s="22" t="s">
        <v>357</v>
      </c>
      <c r="D2" s="6" t="s">
        <v>348</v>
      </c>
      <c r="E2" t="s">
        <v>210</v>
      </c>
      <c r="F2">
        <v>15</v>
      </c>
      <c r="G2" t="str">
        <f>LOWER(H2)</f>
        <v>emergency</v>
      </c>
      <c r="H2" s="6" t="s">
        <v>282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00:45:00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19/11/2025</v>
      </c>
      <c r="B2" s="9" t="s">
        <v>235</v>
      </c>
      <c r="C2" s="16" t="str">
        <f>TEXT(D2, "hh:mm:ss")</f>
        <v>09:00:00</v>
      </c>
      <c r="D2" s="26" t="s">
        <v>347</v>
      </c>
      <c r="E2" s="26" t="s">
        <v>347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335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318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19/11/2025</v>
      </c>
      <c r="B2" s="9" t="str">
        <f ca="1">TEXT(TODAY(),"dd/mm/yyyy")</f>
        <v>19/11/2025</v>
      </c>
      <c r="C2" s="16" t="str">
        <f>TEXT(E2, "hh:mm:ss")</f>
        <v>15:30:00</v>
      </c>
      <c r="D2" s="16" t="str">
        <f>TEXT(F2, "hh:mm:ss")</f>
        <v>16:30:00</v>
      </c>
      <c r="E2" s="22" t="s">
        <v>354</v>
      </c>
      <c r="F2" s="22" t="s">
        <v>355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15:45:00</v>
      </c>
      <c r="V2" t="s">
        <v>227</v>
      </c>
      <c r="W2" t="s">
        <v>335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272</v>
      </c>
      <c r="S1" t="s">
        <v>273</v>
      </c>
      <c r="T1" t="s">
        <v>274</v>
      </c>
      <c r="U1" t="s">
        <v>217</v>
      </c>
      <c r="V1" t="s">
        <v>216</v>
      </c>
      <c r="W1" t="s">
        <v>275</v>
      </c>
      <c r="X1" t="s">
        <v>276</v>
      </c>
      <c r="Y1" t="s">
        <v>215</v>
      </c>
      <c r="Z1" t="s">
        <v>214</v>
      </c>
      <c r="AA1" t="s">
        <v>277</v>
      </c>
      <c r="AB1" t="s">
        <v>278</v>
      </c>
      <c r="AC1" t="s">
        <v>279</v>
      </c>
      <c r="AD1" t="s">
        <v>213</v>
      </c>
      <c r="AE1" t="s">
        <v>280</v>
      </c>
      <c r="AF1" t="s">
        <v>281</v>
      </c>
      <c r="AG1" t="s">
        <v>212</v>
      </c>
      <c r="AH1" t="s">
        <v>211</v>
      </c>
    </row>
    <row r="2" spans="1:34" x14ac:dyDescent="0.25">
      <c r="A2" s="11" t="s">
        <v>351</v>
      </c>
      <c r="B2" s="11" t="s">
        <v>352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264</v>
      </c>
      <c r="K2" s="18" t="s">
        <v>296</v>
      </c>
      <c r="L2" t="s">
        <v>236</v>
      </c>
      <c r="M2" t="s">
        <v>210</v>
      </c>
      <c r="N2">
        <v>5</v>
      </c>
      <c r="O2" t="s">
        <v>282</v>
      </c>
      <c r="P2" t="s">
        <v>209</v>
      </c>
      <c r="Q2" t="s">
        <v>208</v>
      </c>
      <c r="R2" t="s">
        <v>203</v>
      </c>
      <c r="S2" t="s">
        <v>257</v>
      </c>
      <c r="T2" s="19" t="s">
        <v>264</v>
      </c>
      <c r="U2">
        <v>1</v>
      </c>
      <c r="V2" t="s">
        <v>172</v>
      </c>
      <c r="W2" t="s">
        <v>109</v>
      </c>
      <c r="X2" s="19" t="s">
        <v>264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19/11/2025</v>
      </c>
      <c r="AF2" t="str">
        <f>loginDetails!A4</f>
        <v>thayne.auto</v>
      </c>
      <c r="AG2" t="s">
        <v>113</v>
      </c>
      <c r="AH2" s="18" t="s">
        <v>297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311</v>
      </c>
      <c r="K1" t="s">
        <v>292</v>
      </c>
    </row>
    <row r="2" spans="1:11" x14ac:dyDescent="0.25">
      <c r="A2" t="s">
        <v>293</v>
      </c>
      <c r="B2" t="s">
        <v>257</v>
      </c>
      <c r="C2" s="18" t="s">
        <v>315</v>
      </c>
      <c r="D2" s="18" t="s">
        <v>324</v>
      </c>
      <c r="E2" t="s">
        <v>295</v>
      </c>
      <c r="F2" t="s">
        <v>259</v>
      </c>
      <c r="G2" s="11" t="s">
        <v>336</v>
      </c>
      <c r="H2" s="11" t="s">
        <v>337</v>
      </c>
      <c r="I2" t="str">
        <f>LOWER(J2)</f>
        <v>available</v>
      </c>
      <c r="J2" t="s">
        <v>312</v>
      </c>
      <c r="K2" t="s">
        <v>298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336</v>
      </c>
      <c r="C2" s="18" t="s">
        <v>315</v>
      </c>
      <c r="D2" s="11" t="s">
        <v>338</v>
      </c>
      <c r="E2" s="18" t="s">
        <v>328</v>
      </c>
      <c r="F2" t="str">
        <f>LOWER(G2)</f>
        <v>available</v>
      </c>
      <c r="G2" t="s">
        <v>312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339</v>
      </c>
      <c r="C2" s="18" t="s">
        <v>329</v>
      </c>
      <c r="D2" s="11" t="s">
        <v>340</v>
      </c>
      <c r="E2" s="18" t="s">
        <v>240</v>
      </c>
      <c r="F2" t="str">
        <f>LOWER(G2)</f>
        <v>available</v>
      </c>
      <c r="G2" t="s">
        <v>312</v>
      </c>
      <c r="H2" t="s">
        <v>314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341</v>
      </c>
      <c r="C2" s="18" t="s">
        <v>326</v>
      </c>
      <c r="D2" s="11" t="s">
        <v>342</v>
      </c>
      <c r="E2" s="18" t="s">
        <v>325</v>
      </c>
      <c r="F2" t="str">
        <f>LOWER(G2)</f>
        <v>available</v>
      </c>
      <c r="G2" t="s">
        <v>312</v>
      </c>
      <c r="H2" t="s">
        <v>316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343</v>
      </c>
      <c r="C2" s="18" t="s">
        <v>327</v>
      </c>
      <c r="D2" s="11" t="s">
        <v>344</v>
      </c>
      <c r="E2" s="18" t="s">
        <v>330</v>
      </c>
      <c r="F2" t="str">
        <f>LOWER(G2)</f>
        <v>available</v>
      </c>
      <c r="G2" t="s">
        <v>312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345</v>
      </c>
      <c r="C2" s="18" t="s">
        <v>331</v>
      </c>
      <c r="D2" s="11" t="s">
        <v>346</v>
      </c>
      <c r="E2" s="18" t="s">
        <v>332</v>
      </c>
      <c r="F2" t="str">
        <f>LOWER(G2)</f>
        <v>available</v>
      </c>
      <c r="G2" t="s">
        <v>312</v>
      </c>
      <c r="H2" t="s">
        <v>310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284</v>
      </c>
      <c r="B1" t="s">
        <v>306</v>
      </c>
      <c r="C1" t="s">
        <v>307</v>
      </c>
      <c r="D1" t="s">
        <v>308</v>
      </c>
      <c r="E1" t="s">
        <v>302</v>
      </c>
    </row>
    <row r="2" spans="1:5" x14ac:dyDescent="0.25">
      <c r="A2" s="6" t="s">
        <v>294</v>
      </c>
      <c r="B2" s="6" t="s">
        <v>294</v>
      </c>
      <c r="C2" s="20" t="str">
        <f ca="1">TEXT(TODAY(),"dd/mm/yyyy")</f>
        <v>19/11/2025</v>
      </c>
      <c r="D2" s="6" t="str">
        <f>loginDetails!A4</f>
        <v>thayne.auto</v>
      </c>
      <c r="E2" s="9" t="s">
        <v>337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2025-11-19T15:20:55Z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